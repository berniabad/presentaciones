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car-my.sharepoint.com/personal/npietz_colgas_com_ar/Documents/Escritorio/"/>
    </mc:Choice>
  </mc:AlternateContent>
  <xr:revisionPtr revIDLastSave="427" documentId="8_{B984277D-A48B-43A8-B80C-C63FBD4BBB4B}" xr6:coauthVersionLast="47" xr6:coauthVersionMax="47" xr10:uidLastSave="{D64479A3-EF2A-4CF5-A10E-E27377160930}"/>
  <bookViews>
    <workbookView xWindow="-108" yWindow="-108" windowWidth="23256" windowHeight="13896" activeTab="1" xr2:uid="{E53A00E3-D217-4AF9-950E-B8573AC63C1F}"/>
  </bookViews>
  <sheets>
    <sheet name="Hoja1" sheetId="1" r:id="rId1"/>
    <sheet name="Presentacion Emperad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81" i="2" l="1"/>
  <c r="P183" i="2"/>
  <c r="P184" i="2"/>
  <c r="P180" i="2"/>
  <c r="P172" i="2"/>
  <c r="P174" i="2"/>
  <c r="P175" i="2"/>
  <c r="P171" i="2"/>
  <c r="O181" i="2"/>
  <c r="O182" i="2"/>
  <c r="P182" i="2" s="1"/>
  <c r="O183" i="2"/>
  <c r="O184" i="2"/>
  <c r="O180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B185" i="2"/>
  <c r="O172" i="2"/>
  <c r="O173" i="2"/>
  <c r="P173" i="2" s="1"/>
  <c r="O174" i="2"/>
  <c r="O175" i="2"/>
  <c r="O171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B176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B167" i="2"/>
  <c r="O166" i="2"/>
  <c r="O163" i="2"/>
  <c r="O164" i="2"/>
  <c r="O165" i="2"/>
  <c r="O162" i="2"/>
  <c r="O185" i="2" l="1"/>
  <c r="P185" i="2" s="1"/>
  <c r="O176" i="2"/>
  <c r="P176" i="2" s="1"/>
  <c r="C156" i="2" l="1"/>
  <c r="C143" i="2"/>
  <c r="C138" i="2"/>
  <c r="D138" i="2" s="1"/>
  <c r="C137" i="2"/>
  <c r="C136" i="2"/>
  <c r="B156" i="2"/>
  <c r="B143" i="2"/>
  <c r="B138" i="2"/>
  <c r="B137" i="2"/>
  <c r="B136" i="2"/>
  <c r="D150" i="2"/>
  <c r="D146" i="2"/>
  <c r="D144" i="2"/>
  <c r="D142" i="2"/>
  <c r="D141" i="2"/>
  <c r="D140" i="2"/>
  <c r="D139" i="2"/>
  <c r="D137" i="2"/>
  <c r="D136" i="2" l="1"/>
  <c r="C127" i="2" l="1"/>
  <c r="C126" i="2"/>
  <c r="C122" i="2"/>
  <c r="C121" i="2"/>
  <c r="C120" i="2"/>
  <c r="C119" i="2"/>
  <c r="C118" i="2"/>
  <c r="C117" i="2"/>
  <c r="D117" i="2" s="1"/>
  <c r="C116" i="2"/>
  <c r="C115" i="2"/>
  <c r="C103" i="2"/>
  <c r="C102" i="2"/>
  <c r="D102" i="2" s="1"/>
  <c r="C101" i="2"/>
  <c r="C100" i="2"/>
  <c r="D100" i="2" s="1"/>
  <c r="C99" i="2"/>
  <c r="C98" i="2"/>
  <c r="C97" i="2"/>
  <c r="C96" i="2"/>
  <c r="C95" i="2"/>
  <c r="C94" i="2"/>
  <c r="D94" i="2" s="1"/>
  <c r="C93" i="2"/>
  <c r="C92" i="2"/>
  <c r="D92" i="2" s="1"/>
  <c r="B127" i="2"/>
  <c r="B126" i="2"/>
  <c r="B124" i="2"/>
  <c r="B122" i="2"/>
  <c r="B121" i="2"/>
  <c r="B120" i="2"/>
  <c r="B119" i="2"/>
  <c r="B118" i="2"/>
  <c r="B117" i="2"/>
  <c r="B116" i="2"/>
  <c r="B115" i="2"/>
  <c r="B103" i="2"/>
  <c r="B102" i="2"/>
  <c r="B101" i="2"/>
  <c r="B100" i="2"/>
  <c r="B99" i="2"/>
  <c r="B98" i="2"/>
  <c r="B97" i="2"/>
  <c r="B96" i="2"/>
  <c r="B95" i="2"/>
  <c r="B94" i="2"/>
  <c r="B93" i="2"/>
  <c r="B92" i="2"/>
  <c r="C91" i="2"/>
  <c r="D91" i="2" s="1"/>
  <c r="B91" i="2"/>
  <c r="H128" i="2"/>
  <c r="D125" i="2"/>
  <c r="C124" i="2"/>
  <c r="D124" i="2" s="1"/>
  <c r="D123" i="2"/>
  <c r="D122" i="2"/>
  <c r="H112" i="2"/>
  <c r="D111" i="2"/>
  <c r="D110" i="2"/>
  <c r="D108" i="2"/>
  <c r="H104" i="2"/>
  <c r="D101" i="2"/>
  <c r="D99" i="2"/>
  <c r="D97" i="2" l="1"/>
  <c r="D93" i="2"/>
  <c r="D118" i="2"/>
  <c r="D119" i="2"/>
  <c r="D120" i="2"/>
  <c r="D103" i="2"/>
  <c r="D121" i="2"/>
  <c r="D96" i="2"/>
  <c r="D126" i="2"/>
  <c r="D95" i="2"/>
  <c r="D98" i="2"/>
  <c r="D115" i="2"/>
  <c r="D127" i="2"/>
  <c r="D116" i="2"/>
</calcChain>
</file>

<file path=xl/sharedStrings.xml><?xml version="1.0" encoding="utf-8"?>
<sst xmlns="http://schemas.openxmlformats.org/spreadsheetml/2006/main" count="351" uniqueCount="233">
  <si>
    <t>X3</t>
  </si>
  <si>
    <t>X3 PRO</t>
  </si>
  <si>
    <t>X7 PRO</t>
  </si>
  <si>
    <t>X7 PHEV</t>
  </si>
  <si>
    <t>Medidas</t>
  </si>
  <si>
    <t>Largo</t>
  </si>
  <si>
    <t>Ancho</t>
  </si>
  <si>
    <t>Alto</t>
  </si>
  <si>
    <t>Distancia entre Ejes</t>
  </si>
  <si>
    <t>Motorizacion</t>
  </si>
  <si>
    <t>Motor</t>
  </si>
  <si>
    <t>Caracteristicas</t>
  </si>
  <si>
    <t>Freno a disco en las 4 ruedas</t>
  </si>
  <si>
    <t>CVT</t>
  </si>
  <si>
    <t>Transmision</t>
  </si>
  <si>
    <t>Rodado</t>
  </si>
  <si>
    <t>17´</t>
  </si>
  <si>
    <t>Potencia (HP)</t>
  </si>
  <si>
    <t>Torque (Nm)</t>
  </si>
  <si>
    <t>Luces LED</t>
  </si>
  <si>
    <t>Arranque por Boton</t>
  </si>
  <si>
    <t>Tapizados de Eco-Cuero</t>
  </si>
  <si>
    <t>Tablero de intrumentos digital de 7"</t>
  </si>
  <si>
    <t>Pantalla Multimedia de 10,25"</t>
  </si>
  <si>
    <t>Camara de retroseso</t>
  </si>
  <si>
    <t>Sensor de estacionamiento trasero</t>
  </si>
  <si>
    <t>1,5 Turbo</t>
  </si>
  <si>
    <t>18´</t>
  </si>
  <si>
    <t>Barras de techo</t>
  </si>
  <si>
    <t>Techo Panoramico</t>
  </si>
  <si>
    <t>Cargador inalambrico de celular</t>
  </si>
  <si>
    <t>Camara de 360°</t>
  </si>
  <si>
    <t>Asiento del conductor con ajuste elctrico</t>
  </si>
  <si>
    <t>2,0 Turbo</t>
  </si>
  <si>
    <t>20´</t>
  </si>
  <si>
    <t>DCT (7 marchas)</t>
  </si>
  <si>
    <t>7 Asientos</t>
  </si>
  <si>
    <t>Capacidad del Baul con 2° y 3° fila abatidas 1.566 Litros</t>
  </si>
  <si>
    <t>Camara 360°</t>
  </si>
  <si>
    <t>Faros Full LED</t>
  </si>
  <si>
    <t>Panel de intrumentos Digital</t>
  </si>
  <si>
    <t>Pantalla Multimedia de 14,6"</t>
  </si>
  <si>
    <t>Salidas de aire acondicionado en plazas traseras</t>
  </si>
  <si>
    <t>Porton trasero electrico</t>
  </si>
  <si>
    <t>ADAS</t>
  </si>
  <si>
    <t>DHT</t>
  </si>
  <si>
    <t>Hibrido Enchufable</t>
  </si>
  <si>
    <t>Electrico</t>
  </si>
  <si>
    <t>Bateria de 18,67 Kw/h</t>
  </si>
  <si>
    <t>Sistema de recuperacion de energia</t>
  </si>
  <si>
    <t>Carga rapida</t>
  </si>
  <si>
    <t>Autonomia modo 100% electrico de 80 Km (ciclo WLTC)</t>
  </si>
  <si>
    <t>Pantalla Multimedia de 15,6"</t>
  </si>
  <si>
    <t>Camara 540°</t>
  </si>
  <si>
    <t>Total 2023</t>
  </si>
  <si>
    <t>Total 2024</t>
  </si>
  <si>
    <t>Total 2025</t>
  </si>
  <si>
    <t>YTD 2026</t>
  </si>
  <si>
    <t>Jan-May 25 vs 26´</t>
  </si>
  <si>
    <t>MARCAS CHINAS</t>
  </si>
  <si>
    <t>MERCADO TOTAL</t>
  </si>
  <si>
    <t>TOTAL 2025</t>
  </si>
  <si>
    <t>Evolucion Market Share marcas chinas</t>
  </si>
  <si>
    <t>SEGMENTOS</t>
  </si>
  <si>
    <t>SUV</t>
  </si>
  <si>
    <t>Buses</t>
  </si>
  <si>
    <t>Premium</t>
  </si>
  <si>
    <t>Light Trucks</t>
  </si>
  <si>
    <t>Small passanger</t>
  </si>
  <si>
    <t>Trucks</t>
  </si>
  <si>
    <t>Medium Passanger</t>
  </si>
  <si>
    <t>MPV</t>
  </si>
  <si>
    <t>Other</t>
  </si>
  <si>
    <t>Large Passanger</t>
  </si>
  <si>
    <t>COMBUSTIBLES</t>
  </si>
  <si>
    <t>Nafta</t>
  </si>
  <si>
    <t>Diesel</t>
  </si>
  <si>
    <t>Electrificados</t>
  </si>
  <si>
    <t>Country of origin</t>
  </si>
  <si>
    <t>Brasil</t>
  </si>
  <si>
    <t>Argentina</t>
  </si>
  <si>
    <t>China</t>
  </si>
  <si>
    <t>Others</t>
  </si>
  <si>
    <t>TOP 10 Brands</t>
  </si>
  <si>
    <t>VOLKSWAGEN</t>
  </si>
  <si>
    <t>TOYOTA</t>
  </si>
  <si>
    <t>FIAT</t>
  </si>
  <si>
    <t>FORD</t>
  </si>
  <si>
    <t>CHEVROLET</t>
  </si>
  <si>
    <t>RENAULT</t>
  </si>
  <si>
    <t>PEUGEOT</t>
  </si>
  <si>
    <t>CITROEN</t>
  </si>
  <si>
    <t>MERCEDES BENZ</t>
  </si>
  <si>
    <t>BYD</t>
  </si>
  <si>
    <t>JEEP</t>
  </si>
  <si>
    <t>MODELO</t>
  </si>
  <si>
    <t>Precio Min. USD</t>
  </si>
  <si>
    <t>Precio Max. USD</t>
  </si>
  <si>
    <t>Rango</t>
  </si>
  <si>
    <t>Pat. 2025</t>
  </si>
  <si>
    <t>Precio Min.</t>
  </si>
  <si>
    <t>Precio Max.</t>
  </si>
  <si>
    <t>Pat. YTD 2026</t>
  </si>
  <si>
    <t>VOLKSWAGEN TERA</t>
  </si>
  <si>
    <t>4.779 Unidades</t>
  </si>
  <si>
    <t>CHEVROLET TRACKER</t>
  </si>
  <si>
    <t>17.654 Unidades</t>
  </si>
  <si>
    <t>PEUGEOT 2008</t>
  </si>
  <si>
    <t>15.347 Unidades</t>
  </si>
  <si>
    <t>VOLKSWAGEN NIVUS</t>
  </si>
  <si>
    <t>10.855 Unidades</t>
  </si>
  <si>
    <t>RENAULT KARDIAN</t>
  </si>
  <si>
    <t>11.345 Unidades</t>
  </si>
  <si>
    <t>VOLKSWAGEN T-CROSS</t>
  </si>
  <si>
    <t>9.832 Unidades</t>
  </si>
  <si>
    <t>NISSAN KICKS</t>
  </si>
  <si>
    <t>5.519 Unidades</t>
  </si>
  <si>
    <t>JEEP RENEGADE</t>
  </si>
  <si>
    <t>9.753 Unidades</t>
  </si>
  <si>
    <t>CITROEN BASALT</t>
  </si>
  <si>
    <t>6.544 Unidades</t>
  </si>
  <si>
    <t>CITROEN AIRCROSS</t>
  </si>
  <si>
    <t>7.378 Unidades</t>
  </si>
  <si>
    <t>FIAT PULSE</t>
  </si>
  <si>
    <t>6.073 Unidades</t>
  </si>
  <si>
    <t>RENAULT DUSTER</t>
  </si>
  <si>
    <t>4.430 Unidades</t>
  </si>
  <si>
    <t>HONDA HR-V</t>
  </si>
  <si>
    <t>2.358 Unidades</t>
  </si>
  <si>
    <t>111.867 Unidades</t>
  </si>
  <si>
    <t>MG ZS</t>
  </si>
  <si>
    <t>142 Unidades</t>
  </si>
  <si>
    <t>BAIC X35</t>
  </si>
  <si>
    <t>449 Unidades</t>
  </si>
  <si>
    <t>CHERY TIGGO 2 PRO</t>
  </si>
  <si>
    <t>18 Unidades</t>
  </si>
  <si>
    <t>JAC JS2</t>
  </si>
  <si>
    <t>53 Unidades</t>
  </si>
  <si>
    <t>662 Unidades</t>
  </si>
  <si>
    <t>PEUGEOT 208</t>
  </si>
  <si>
    <t>29.093 Unidades</t>
  </si>
  <si>
    <t>FIAT CRONOS</t>
  </si>
  <si>
    <t>29.908 Unidades</t>
  </si>
  <si>
    <t>CHEVROLET ONIX</t>
  </si>
  <si>
    <t>13.707 Unidades</t>
  </si>
  <si>
    <t>VOLKSWAGEN POLO</t>
  </si>
  <si>
    <t>21.326 Unidades</t>
  </si>
  <si>
    <t>TOYOTA YARIS</t>
  </si>
  <si>
    <t>30.152 Unidades</t>
  </si>
  <si>
    <t>CITROEN C3</t>
  </si>
  <si>
    <t>5.458 Unidades</t>
  </si>
  <si>
    <t>FIAT ARGO</t>
  </si>
  <si>
    <t>4.211 Unidades</t>
  </si>
  <si>
    <t>HYUNDAI HB20</t>
  </si>
  <si>
    <t>3.311 Unidades</t>
  </si>
  <si>
    <t>KIA K3</t>
  </si>
  <si>
    <t>2.011 Unidades</t>
  </si>
  <si>
    <t>HONDA WR-V</t>
  </si>
  <si>
    <t>1 Unidades</t>
  </si>
  <si>
    <t>MG3</t>
  </si>
  <si>
    <t>132 Unidades</t>
  </si>
  <si>
    <t>RENAULT STEPWAY</t>
  </si>
  <si>
    <t>3.048 Unidades</t>
  </si>
  <si>
    <t>RENAULT SANDERO</t>
  </si>
  <si>
    <t>2.571 Unidades</t>
  </si>
  <si>
    <t>144.929 Unidades</t>
  </si>
  <si>
    <t>SEGMENTO X3/X3PRO</t>
  </si>
  <si>
    <t>X3: 22,000 USD</t>
  </si>
  <si>
    <t>X3 PRO: 26,000 USD</t>
  </si>
  <si>
    <t>ejemplo</t>
  </si>
  <si>
    <t>Pat YTD 2026</t>
  </si>
  <si>
    <t>FORD TERITORY</t>
  </si>
  <si>
    <t>14.067 Unidades</t>
  </si>
  <si>
    <t>TOYOTA COROLLA CROSS</t>
  </si>
  <si>
    <t>18.152 Unidades</t>
  </si>
  <si>
    <t>VOLKSWAGEN TAOS</t>
  </si>
  <si>
    <t>16.525 Unidades</t>
  </si>
  <si>
    <t>JEEP COMPASS</t>
  </si>
  <si>
    <t>10.687 Unidades</t>
  </si>
  <si>
    <t>BAIC BJ30</t>
  </si>
  <si>
    <t>2.246 Unidades</t>
  </si>
  <si>
    <t>BYD SONG PRO</t>
  </si>
  <si>
    <t>326 Unidades</t>
  </si>
  <si>
    <t>HAVAL H6</t>
  </si>
  <si>
    <t>1.245 Unidades</t>
  </si>
  <si>
    <t>CHEVROLET CAPTIVA</t>
  </si>
  <si>
    <t>4 Unidades</t>
  </si>
  <si>
    <t>BAIC X55</t>
  </si>
  <si>
    <t>1.479 Unidades</t>
  </si>
  <si>
    <t>CHANGAN CS55</t>
  </si>
  <si>
    <t>16 Unidades</t>
  </si>
  <si>
    <t>JEEP COMMANDER</t>
  </si>
  <si>
    <t>1.470 Unidades</t>
  </si>
  <si>
    <t>PEUGEOT 3008</t>
  </si>
  <si>
    <t>547 Unidades</t>
  </si>
  <si>
    <t>JETOUR DASHING</t>
  </si>
  <si>
    <t>216 Unidades</t>
  </si>
  <si>
    <t>CHERRY TIGGO 8</t>
  </si>
  <si>
    <t>21 Unidades</t>
  </si>
  <si>
    <t>HYUNDAI TUCSON</t>
  </si>
  <si>
    <t>392 Unidades</t>
  </si>
  <si>
    <t>JAC JS6</t>
  </si>
  <si>
    <t>10 Unidades</t>
  </si>
  <si>
    <t>GAC EMKOO</t>
  </si>
  <si>
    <t>5 Unidades</t>
  </si>
  <si>
    <t>DFSK E5</t>
  </si>
  <si>
    <t>JAC JS8</t>
  </si>
  <si>
    <t>122 Unidades</t>
  </si>
  <si>
    <t xml:space="preserve">JETOUR X70 </t>
  </si>
  <si>
    <t>145 Unidades</t>
  </si>
  <si>
    <t>DFSK GLORY 580</t>
  </si>
  <si>
    <t>80 Unidades</t>
  </si>
  <si>
    <t>SEGMENTO X7PRO / X7 PHEV</t>
  </si>
  <si>
    <t>X7 PHEV: 35,000 USD</t>
  </si>
  <si>
    <t>X7 PRO: 38,000 USD</t>
  </si>
  <si>
    <t>ORDERS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</si>
  <si>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</si>
  <si>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</si>
  <si>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</si>
  <si>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</si>
  <si>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</si>
  <si>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</si>
  <si>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</si>
  <si>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</si>
  <si>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</si>
  <si>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</si>
  <si>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</si>
  <si>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</si>
  <si>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X7 PRO AWD</t>
  </si>
  <si>
    <t>TOTAL</t>
  </si>
  <si>
    <t>Wholesale</t>
  </si>
  <si>
    <t>Retail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</si>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</sst>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0.0%"/>
    <numFmt numFmtId="165" formatCode="#,##0_ ;\-#,##0\ "/>
    <numFmt numFmtId="166" formatCode="_-&quot;$&quot;\ * #,##0_-;\-&quot;$&quot;\ * #,##0_-;_-&quot;$&quot;\ * &quot;-&quot;??_-;_-@_-"/>
    <numFmt numFmtId="167" formatCode="[$USD]\ #,##0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0" applyNumberFormat="1"/>
    <xf numFmtId="0" fontId="4" fillId="4" borderId="1" xfId="0" applyFont="1" applyFill="1" applyBorder="1" applyAlignment="1">
      <alignment horizontal="center" vertical="center"/>
    </xf>
    <xf numFmtId="17" fontId="3" fillId="3" borderId="2" xfId="0" applyNumberFormat="1" applyFont="1" applyFill="1" applyBorder="1" applyAlignment="1">
      <alignment horizontal="center" vertical="center" wrapText="1"/>
    </xf>
    <xf numFmtId="17" fontId="3" fillId="3" borderId="3" xfId="0" applyNumberFormat="1" applyFont="1" applyFill="1" applyBorder="1" applyAlignment="1">
      <alignment horizontal="center" vertical="center" wrapText="1"/>
    </xf>
    <xf numFmtId="17" fontId="3" fillId="3" borderId="4" xfId="0" applyNumberFormat="1" applyFont="1" applyFill="1" applyBorder="1" applyAlignment="1">
      <alignment horizontal="center" vertical="center" wrapText="1"/>
    </xf>
    <xf numFmtId="17" fontId="1" fillId="3" borderId="5" xfId="0" applyNumberFormat="1" applyFont="1" applyFill="1" applyBorder="1" applyAlignment="1">
      <alignment horizontal="center" vertical="center" wrapText="1"/>
    </xf>
    <xf numFmtId="17" fontId="1" fillId="3" borderId="2" xfId="0" applyNumberFormat="1" applyFont="1" applyFill="1" applyBorder="1" applyAlignment="1">
      <alignment horizontal="center" vertical="center" wrapText="1"/>
    </xf>
    <xf numFmtId="17" fontId="1" fillId="3" borderId="3" xfId="0" applyNumberFormat="1" applyFont="1" applyFill="1" applyBorder="1" applyAlignment="1">
      <alignment horizontal="center" vertical="center" wrapText="1"/>
    </xf>
    <xf numFmtId="17" fontId="1" fillId="3" borderId="4" xfId="0" applyNumberFormat="1" applyFont="1" applyFill="1" applyBorder="1" applyAlignment="1">
      <alignment horizontal="center" vertical="center" wrapText="1"/>
    </xf>
    <xf numFmtId="17" fontId="1" fillId="3" borderId="6" xfId="0" applyNumberFormat="1" applyFont="1" applyFill="1" applyBorder="1" applyAlignment="1">
      <alignment horizontal="center" vertical="center" wrapText="1"/>
    </xf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 vertical="center"/>
    </xf>
    <xf numFmtId="0" fontId="5" fillId="0" borderId="3" xfId="0" applyFont="1" applyBorder="1" applyAlignment="1">
      <alignment wrapText="1"/>
    </xf>
    <xf numFmtId="0" fontId="6" fillId="4" borderId="8" xfId="0" applyFont="1" applyFill="1" applyBorder="1" applyAlignment="1">
      <alignment horizontal="right"/>
    </xf>
    <xf numFmtId="0" fontId="0" fillId="4" borderId="0" xfId="0" applyFill="1"/>
    <xf numFmtId="9" fontId="0" fillId="0" borderId="0" xfId="1" applyFont="1"/>
    <xf numFmtId="0" fontId="4" fillId="4" borderId="7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7" fillId="0" borderId="0" xfId="0" applyFont="1" applyAlignment="1">
      <alignment horizontal="center"/>
    </xf>
    <xf numFmtId="0" fontId="1" fillId="3" borderId="9" xfId="0" applyFont="1" applyFill="1" applyBorder="1" applyAlignment="1">
      <alignment horizontal="center" vertical="center"/>
    </xf>
    <xf numFmtId="165" fontId="1" fillId="3" borderId="10" xfId="2" applyNumberFormat="1" applyFont="1" applyFill="1" applyBorder="1" applyAlignment="1">
      <alignment horizontal="center" vertical="center"/>
    </xf>
    <xf numFmtId="3" fontId="1" fillId="3" borderId="10" xfId="0" applyNumberFormat="1" applyFont="1" applyFill="1" applyBorder="1" applyAlignment="1">
      <alignment horizontal="center" vertical="center"/>
    </xf>
    <xf numFmtId="166" fontId="1" fillId="3" borderId="10" xfId="2" applyNumberFormat="1" applyFont="1" applyFill="1" applyBorder="1" applyAlignment="1">
      <alignment horizontal="center" vertical="center"/>
    </xf>
    <xf numFmtId="3" fontId="1" fillId="3" borderId="11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165" fontId="0" fillId="0" borderId="13" xfId="2" applyNumberFormat="1" applyFont="1" applyFill="1" applyBorder="1" applyAlignment="1">
      <alignment horizontal="center" vertical="center"/>
    </xf>
    <xf numFmtId="165" fontId="0" fillId="0" borderId="13" xfId="2" applyNumberFormat="1" applyFon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166" fontId="0" fillId="0" borderId="13" xfId="2" applyNumberFormat="1" applyFont="1" applyFill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vertical="center"/>
    </xf>
    <xf numFmtId="165" fontId="0" fillId="0" borderId="16" xfId="2" applyNumberFormat="1" applyFon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166" fontId="0" fillId="0" borderId="16" xfId="2" applyNumberFormat="1" applyFont="1" applyFill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165" fontId="0" fillId="0" borderId="16" xfId="2" applyNumberFormat="1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165" fontId="0" fillId="0" borderId="19" xfId="2" applyNumberFormat="1" applyFont="1" applyFill="1" applyBorder="1" applyAlignment="1">
      <alignment horizontal="center" vertical="center"/>
    </xf>
    <xf numFmtId="165" fontId="0" fillId="0" borderId="19" xfId="2" applyNumberFormat="1" applyFont="1" applyBorder="1" applyAlignment="1">
      <alignment horizontal="center" vertical="center"/>
    </xf>
    <xf numFmtId="3" fontId="0" fillId="0" borderId="19" xfId="0" applyNumberFormat="1" applyBorder="1" applyAlignment="1">
      <alignment horizontal="center" vertical="center"/>
    </xf>
    <xf numFmtId="166" fontId="0" fillId="0" borderId="19" xfId="2" applyNumberFormat="1" applyFont="1" applyFill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2" applyNumberFormat="1" applyFont="1" applyAlignment="1">
      <alignment horizontal="center" vertical="center"/>
    </xf>
    <xf numFmtId="3" fontId="7" fillId="5" borderId="9" xfId="0" applyNumberFormat="1" applyFont="1" applyFill="1" applyBorder="1" applyAlignment="1">
      <alignment horizontal="center" vertical="center"/>
    </xf>
    <xf numFmtId="166" fontId="7" fillId="5" borderId="10" xfId="2" applyNumberFormat="1" applyFont="1" applyFill="1" applyBorder="1" applyAlignment="1">
      <alignment horizontal="center" vertical="center"/>
    </xf>
    <xf numFmtId="3" fontId="7" fillId="5" borderId="11" xfId="0" applyNumberFormat="1" applyFont="1" applyFill="1" applyBorder="1" applyAlignment="1">
      <alignment horizontal="center" vertical="center"/>
    </xf>
    <xf numFmtId="165" fontId="0" fillId="0" borderId="0" xfId="2" applyNumberFormat="1" applyFont="1" applyFill="1" applyAlignment="1">
      <alignment horizontal="center"/>
    </xf>
    <xf numFmtId="165" fontId="0" fillId="0" borderId="0" xfId="2" applyNumberFormat="1" applyFont="1" applyAlignment="1">
      <alignment horizontal="center"/>
    </xf>
    <xf numFmtId="166" fontId="0" fillId="0" borderId="0" xfId="2" applyNumberFormat="1" applyFont="1"/>
    <xf numFmtId="166" fontId="0" fillId="0" borderId="0" xfId="2" applyNumberFormat="1" applyFont="1" applyFill="1"/>
    <xf numFmtId="0" fontId="0" fillId="0" borderId="12" xfId="0" applyBorder="1"/>
    <xf numFmtId="165" fontId="0" fillId="0" borderId="13" xfId="2" applyNumberFormat="1" applyFont="1" applyFill="1" applyBorder="1" applyAlignment="1">
      <alignment horizontal="center"/>
    </xf>
    <xf numFmtId="165" fontId="0" fillId="0" borderId="13" xfId="2" applyNumberFormat="1" applyFont="1" applyBorder="1" applyAlignment="1">
      <alignment horizontal="center"/>
    </xf>
    <xf numFmtId="166" fontId="0" fillId="0" borderId="13" xfId="2" applyNumberFormat="1" applyFont="1" applyFill="1" applyBorder="1"/>
    <xf numFmtId="0" fontId="0" fillId="0" borderId="15" xfId="0" applyBorder="1"/>
    <xf numFmtId="165" fontId="0" fillId="0" borderId="16" xfId="2" applyNumberFormat="1" applyFont="1" applyFill="1" applyBorder="1" applyAlignment="1">
      <alignment horizontal="center"/>
    </xf>
    <xf numFmtId="165" fontId="0" fillId="0" borderId="16" xfId="2" applyNumberFormat="1" applyFont="1" applyBorder="1" applyAlignment="1">
      <alignment horizontal="center"/>
    </xf>
    <xf numFmtId="166" fontId="0" fillId="0" borderId="16" xfId="2" applyNumberFormat="1" applyFont="1" applyFill="1" applyBorder="1"/>
    <xf numFmtId="0" fontId="0" fillId="0" borderId="18" xfId="0" applyBorder="1"/>
    <xf numFmtId="165" fontId="0" fillId="0" borderId="19" xfId="2" applyNumberFormat="1" applyFont="1" applyFill="1" applyBorder="1" applyAlignment="1">
      <alignment horizontal="center"/>
    </xf>
    <xf numFmtId="165" fontId="0" fillId="0" borderId="19" xfId="2" applyNumberFormat="1" applyFont="1" applyBorder="1" applyAlignment="1">
      <alignment horizontal="center"/>
    </xf>
    <xf numFmtId="166" fontId="0" fillId="0" borderId="19" xfId="2" applyNumberFormat="1" applyFont="1" applyFill="1" applyBorder="1"/>
    <xf numFmtId="166" fontId="7" fillId="5" borderId="10" xfId="2" applyNumberFormat="1" applyFont="1" applyFill="1" applyBorder="1"/>
    <xf numFmtId="166" fontId="0" fillId="0" borderId="13" xfId="2" applyNumberFormat="1" applyFont="1" applyFill="1" applyBorder="1" applyAlignment="1">
      <alignment vertical="center"/>
    </xf>
    <xf numFmtId="166" fontId="0" fillId="0" borderId="16" xfId="2" applyNumberFormat="1" applyFont="1" applyFill="1" applyBorder="1" applyAlignment="1">
      <alignment vertical="center"/>
    </xf>
    <xf numFmtId="166" fontId="0" fillId="0" borderId="19" xfId="2" applyNumberFormat="1" applyFont="1" applyFill="1" applyBorder="1" applyAlignment="1">
      <alignment vertical="center"/>
    </xf>
    <xf numFmtId="166" fontId="7" fillId="5" borderId="10" xfId="2" applyNumberFormat="1" applyFont="1" applyFill="1" applyBorder="1" applyAlignment="1">
      <alignment vertical="center"/>
    </xf>
    <xf numFmtId="167" fontId="1" fillId="3" borderId="10" xfId="2" applyNumberFormat="1" applyFont="1" applyFill="1" applyBorder="1" applyAlignment="1">
      <alignment horizontal="center" vertical="center"/>
    </xf>
    <xf numFmtId="167" fontId="0" fillId="0" borderId="13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166" fontId="0" fillId="0" borderId="13" xfId="2" applyNumberFormat="1" applyFont="1" applyFill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167" fontId="0" fillId="0" borderId="16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166" fontId="0" fillId="0" borderId="16" xfId="2" applyNumberFormat="1" applyFont="1" applyFill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166" fontId="0" fillId="5" borderId="16" xfId="2" applyNumberFormat="1" applyFont="1" applyFill="1" applyBorder="1" applyAlignment="1">
      <alignment horizontal="center"/>
    </xf>
    <xf numFmtId="167" fontId="0" fillId="0" borderId="19" xfId="0" applyNumberFormat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166" fontId="0" fillId="0" borderId="19" xfId="2" applyNumberFormat="1" applyFont="1" applyFill="1" applyBorder="1" applyAlignment="1">
      <alignment horizontal="center"/>
    </xf>
    <xf numFmtId="3" fontId="0" fillId="0" borderId="20" xfId="0" applyNumberFormat="1" applyBorder="1" applyAlignment="1">
      <alignment horizontal="center"/>
    </xf>
    <xf numFmtId="0" fontId="4" fillId="4" borderId="0" xfId="0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7" fillId="5" borderId="0" xfId="0" applyFont="1" applyFill="1" applyAlignment="1">
      <alignment horizontal="center"/>
    </xf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11</xdr:col>
      <xdr:colOff>593932</xdr:colOff>
      <xdr:row>58</xdr:row>
      <xdr:rowOff>53909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7C24E1-0668-2888-6003-19FE09C7F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65620"/>
          <a:ext cx="10583752" cy="4077269"/>
        </a:xfrm>
        <a:prstGeom prst="rect">
          <a:avLst/>
        </a:prstGeom>
      </xdr:spPr>
    </xdr:pic>
    <xdr:clientData/>
  </xdr:twoCellAnchor>
  <xdr:twoCellAnchor editAs="oneCell">
    <xdr:from>
      <xdr:col>10</xdr:col>
      <xdr:colOff>267881</xdr:colOff>
      <xdr:row>89</xdr:row>
      <xdr:rowOff>76200</xdr:rowOff>
    </xdr:from>
    <xdr:to>
      <xdr:col>17</xdr:col>
      <xdr:colOff>500909</xdr:colOff>
      <xdr:row>104</xdr:row>
      <xdr:rowOff>63722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D64B35-4FFE-ADA9-18BE-80238D4E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65221" y="16764000"/>
          <a:ext cx="5780388" cy="2753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B6BA-279F-406C-A53C-78A28923B404}">
  <dimension ref="A1:F35"/>
  <sheetViews>
    <sheetView workbookViewId="0">
      <selection activeCell="C33" sqref="C33"/>
    </sheetView>
  </sheetViews>
  <sheetFormatPr baseColWidth="10" defaultRowHeight="14.4" x14ac:dyDescent="0.3"/>
  <cols>
    <col min="1" max="1" width="24.109375" bestFit="1" customWidth="1"/>
    <col min="2" max="2" width="31.109375" style="1" customWidth="1"/>
    <col min="3" max="3" width="33.77734375" style="1" bestFit="1" customWidth="1"/>
    <col min="4" max="4" width="45.33203125" style="1" bestFit="1" customWidth="1"/>
    <col min="5" max="5" width="22.88671875" style="1" customWidth="1"/>
    <col min="6" max="6" width="23.5546875" customWidth="1"/>
  </cols>
  <sheetData>
    <row r="1" spans="1:6" x14ac:dyDescent="0.3">
      <c r="B1" s="5" t="s">
        <v>0</v>
      </c>
      <c r="C1" s="5" t="s">
        <v>1</v>
      </c>
      <c r="D1" s="5" t="s">
        <v>2</v>
      </c>
      <c r="E1" s="28" t="s">
        <v>3</v>
      </c>
      <c r="F1" s="28"/>
    </row>
    <row r="2" spans="1:6" x14ac:dyDescent="0.3">
      <c r="A2" s="3" t="s">
        <v>4</v>
      </c>
      <c r="B2" s="3"/>
      <c r="C2" s="3"/>
      <c r="D2" s="3"/>
      <c r="E2" s="3"/>
      <c r="F2" s="2"/>
    </row>
    <row r="3" spans="1:6" x14ac:dyDescent="0.3">
      <c r="A3" t="s">
        <v>5</v>
      </c>
      <c r="B3" s="4">
        <v>4400</v>
      </c>
      <c r="C3" s="4">
        <v>4400</v>
      </c>
      <c r="D3" s="4">
        <v>4710</v>
      </c>
      <c r="E3" s="29">
        <v>4710</v>
      </c>
      <c r="F3" s="29"/>
    </row>
    <row r="4" spans="1:6" x14ac:dyDescent="0.3">
      <c r="A4" t="s">
        <v>6</v>
      </c>
      <c r="B4" s="4">
        <v>1831</v>
      </c>
      <c r="C4" s="4">
        <v>1831</v>
      </c>
      <c r="D4" s="4">
        <v>1995</v>
      </c>
      <c r="E4" s="29">
        <v>1995</v>
      </c>
      <c r="F4" s="29"/>
    </row>
    <row r="5" spans="1:6" x14ac:dyDescent="0.3">
      <c r="A5" t="s">
        <v>7</v>
      </c>
      <c r="B5" s="4">
        <v>1653</v>
      </c>
      <c r="C5" s="4">
        <v>1653</v>
      </c>
      <c r="D5" s="4">
        <v>1705</v>
      </c>
      <c r="E5" s="29">
        <v>1715</v>
      </c>
      <c r="F5" s="29"/>
    </row>
    <row r="6" spans="1:6" x14ac:dyDescent="0.3">
      <c r="A6" t="s">
        <v>8</v>
      </c>
      <c r="B6" s="4">
        <v>2632</v>
      </c>
      <c r="C6" s="4">
        <v>2632</v>
      </c>
      <c r="D6" s="4">
        <v>2800</v>
      </c>
      <c r="E6" s="29">
        <v>2800</v>
      </c>
      <c r="F6" s="29"/>
    </row>
    <row r="7" spans="1:6" x14ac:dyDescent="0.3">
      <c r="A7" s="2" t="s">
        <v>9</v>
      </c>
      <c r="B7" s="3"/>
      <c r="C7" s="3"/>
      <c r="D7" s="3"/>
      <c r="E7" s="30" t="s">
        <v>46</v>
      </c>
      <c r="F7" s="30"/>
    </row>
    <row r="8" spans="1:6" x14ac:dyDescent="0.3">
      <c r="A8" t="s">
        <v>10</v>
      </c>
      <c r="B8" s="1">
        <v>1.5</v>
      </c>
      <c r="C8" s="1" t="s">
        <v>26</v>
      </c>
      <c r="D8" s="1" t="s">
        <v>33</v>
      </c>
      <c r="E8" s="1" t="s">
        <v>26</v>
      </c>
      <c r="F8" s="1" t="s">
        <v>47</v>
      </c>
    </row>
    <row r="9" spans="1:6" x14ac:dyDescent="0.3">
      <c r="A9" t="s">
        <v>17</v>
      </c>
      <c r="B9" s="1">
        <v>114</v>
      </c>
      <c r="C9" s="1">
        <v>145</v>
      </c>
      <c r="D9" s="1">
        <v>234</v>
      </c>
      <c r="E9" s="1">
        <v>154</v>
      </c>
      <c r="F9" s="1">
        <v>201</v>
      </c>
    </row>
    <row r="10" spans="1:6" x14ac:dyDescent="0.3">
      <c r="A10" t="s">
        <v>18</v>
      </c>
      <c r="B10" s="1">
        <v>143</v>
      </c>
      <c r="C10" s="1">
        <v>230</v>
      </c>
      <c r="D10" s="1">
        <v>375</v>
      </c>
      <c r="E10" s="1">
        <v>220</v>
      </c>
      <c r="F10" s="1">
        <v>310</v>
      </c>
    </row>
    <row r="11" spans="1:6" x14ac:dyDescent="0.3">
      <c r="A11" t="s">
        <v>14</v>
      </c>
      <c r="B11" s="1" t="s">
        <v>13</v>
      </c>
      <c r="C11" s="1" t="s">
        <v>13</v>
      </c>
      <c r="D11" s="1" t="s">
        <v>35</v>
      </c>
      <c r="E11" s="27" t="s">
        <v>45</v>
      </c>
      <c r="F11" s="27"/>
    </row>
    <row r="12" spans="1:6" x14ac:dyDescent="0.3">
      <c r="A12" t="s">
        <v>15</v>
      </c>
      <c r="B12" s="1" t="s">
        <v>16</v>
      </c>
      <c r="C12" s="1" t="s">
        <v>27</v>
      </c>
      <c r="D12" s="1" t="s">
        <v>34</v>
      </c>
      <c r="E12" s="27" t="s">
        <v>34</v>
      </c>
      <c r="F12" s="27"/>
    </row>
    <row r="13" spans="1:6" x14ac:dyDescent="0.3">
      <c r="A13" s="2" t="s">
        <v>11</v>
      </c>
      <c r="B13" s="3"/>
      <c r="C13" s="3"/>
      <c r="D13" s="3"/>
      <c r="E13" s="3"/>
      <c r="F13" s="2"/>
    </row>
    <row r="14" spans="1:6" x14ac:dyDescent="0.3">
      <c r="B14" s="1" t="s">
        <v>12</v>
      </c>
      <c r="C14" s="1" t="s">
        <v>12</v>
      </c>
      <c r="D14" s="1" t="s">
        <v>36</v>
      </c>
      <c r="E14" s="27" t="s">
        <v>48</v>
      </c>
      <c r="F14" s="27"/>
    </row>
    <row r="15" spans="1:6" x14ac:dyDescent="0.3">
      <c r="B15" s="1" t="s">
        <v>19</v>
      </c>
      <c r="C15" s="1" t="s">
        <v>19</v>
      </c>
      <c r="D15" s="1" t="s">
        <v>37</v>
      </c>
      <c r="E15" s="27" t="s">
        <v>49</v>
      </c>
      <c r="F15" s="27"/>
    </row>
    <row r="16" spans="1:6" x14ac:dyDescent="0.3">
      <c r="B16" s="1" t="s">
        <v>20</v>
      </c>
      <c r="C16" s="1" t="s">
        <v>20</v>
      </c>
      <c r="D16" s="1" t="s">
        <v>28</v>
      </c>
      <c r="E16" s="27" t="s">
        <v>50</v>
      </c>
      <c r="F16" s="27"/>
    </row>
    <row r="17" spans="2:6" x14ac:dyDescent="0.3">
      <c r="B17" s="1" t="s">
        <v>21</v>
      </c>
      <c r="C17" s="1" t="s">
        <v>21</v>
      </c>
      <c r="D17" s="1" t="s">
        <v>38</v>
      </c>
      <c r="E17" s="27" t="s">
        <v>51</v>
      </c>
      <c r="F17" s="27"/>
    </row>
    <row r="18" spans="2:6" x14ac:dyDescent="0.3">
      <c r="B18" s="1" t="s">
        <v>22</v>
      </c>
      <c r="C18" s="1" t="s">
        <v>22</v>
      </c>
      <c r="D18" s="1" t="s">
        <v>39</v>
      </c>
      <c r="E18" s="27" t="s">
        <v>36</v>
      </c>
      <c r="F18" s="27"/>
    </row>
    <row r="19" spans="2:6" x14ac:dyDescent="0.3">
      <c r="B19" s="1" t="s">
        <v>23</v>
      </c>
      <c r="C19" s="1" t="s">
        <v>23</v>
      </c>
      <c r="D19" s="1" t="s">
        <v>29</v>
      </c>
      <c r="E19" s="27" t="s">
        <v>37</v>
      </c>
      <c r="F19" s="27"/>
    </row>
    <row r="20" spans="2:6" x14ac:dyDescent="0.3">
      <c r="B20" s="1" t="s">
        <v>24</v>
      </c>
      <c r="D20" s="1" t="s">
        <v>21</v>
      </c>
      <c r="E20" s="27" t="s">
        <v>28</v>
      </c>
      <c r="F20" s="27"/>
    </row>
    <row r="21" spans="2:6" x14ac:dyDescent="0.3">
      <c r="B21" s="1" t="s">
        <v>25</v>
      </c>
      <c r="C21" s="1" t="s">
        <v>25</v>
      </c>
      <c r="D21" s="1" t="s">
        <v>40</v>
      </c>
      <c r="E21" s="27" t="s">
        <v>39</v>
      </c>
      <c r="F21" s="27"/>
    </row>
    <row r="22" spans="2:6" x14ac:dyDescent="0.3">
      <c r="C22" s="1" t="s">
        <v>31</v>
      </c>
      <c r="D22" s="1" t="s">
        <v>41</v>
      </c>
      <c r="E22" s="27" t="s">
        <v>29</v>
      </c>
      <c r="F22" s="27"/>
    </row>
    <row r="23" spans="2:6" x14ac:dyDescent="0.3">
      <c r="C23" s="1" t="s">
        <v>28</v>
      </c>
      <c r="D23" s="1" t="s">
        <v>42</v>
      </c>
      <c r="E23" s="27" t="s">
        <v>21</v>
      </c>
      <c r="F23" s="27"/>
    </row>
    <row r="24" spans="2:6" x14ac:dyDescent="0.3">
      <c r="C24" s="1" t="s">
        <v>29</v>
      </c>
      <c r="D24" s="1" t="s">
        <v>30</v>
      </c>
      <c r="E24" s="27" t="s">
        <v>40</v>
      </c>
      <c r="F24" s="27"/>
    </row>
    <row r="25" spans="2:6" x14ac:dyDescent="0.3">
      <c r="C25" s="1" t="s">
        <v>30</v>
      </c>
      <c r="D25" s="1" t="s">
        <v>43</v>
      </c>
      <c r="E25" s="27" t="s">
        <v>52</v>
      </c>
      <c r="F25" s="27"/>
    </row>
    <row r="26" spans="2:6" x14ac:dyDescent="0.3">
      <c r="C26" s="1" t="s">
        <v>32</v>
      </c>
      <c r="D26" s="1" t="s">
        <v>44</v>
      </c>
      <c r="E26" s="27" t="s">
        <v>42</v>
      </c>
      <c r="F26" s="27"/>
    </row>
    <row r="27" spans="2:6" x14ac:dyDescent="0.3">
      <c r="E27" s="27" t="s">
        <v>30</v>
      </c>
      <c r="F27" s="27"/>
    </row>
    <row r="28" spans="2:6" x14ac:dyDescent="0.3">
      <c r="E28" s="27" t="s">
        <v>43</v>
      </c>
      <c r="F28" s="27"/>
    </row>
    <row r="29" spans="2:6" x14ac:dyDescent="0.3">
      <c r="E29" s="27" t="s">
        <v>44</v>
      </c>
      <c r="F29" s="27"/>
    </row>
    <row r="30" spans="2:6" x14ac:dyDescent="0.3">
      <c r="E30" s="27" t="s">
        <v>53</v>
      </c>
      <c r="F30" s="27"/>
    </row>
    <row r="31" spans="2:6" x14ac:dyDescent="0.3">
      <c r="E31" s="27"/>
      <c r="F31" s="27"/>
    </row>
    <row r="32" spans="2:6" x14ac:dyDescent="0.3">
      <c r="E32" s="27"/>
      <c r="F32" s="27"/>
    </row>
    <row r="33" spans="5:6" x14ac:dyDescent="0.3">
      <c r="E33" s="27"/>
      <c r="F33" s="27"/>
    </row>
    <row r="34" spans="5:6" x14ac:dyDescent="0.3">
      <c r="E34" s="27"/>
      <c r="F34" s="27"/>
    </row>
    <row r="35" spans="5:6" x14ac:dyDescent="0.3">
      <c r="E35" s="27"/>
      <c r="F35" s="27"/>
    </row>
  </sheetData>
  <mergeCells count="30">
    <mergeCell ref="E35:F35"/>
    <mergeCell ref="E34:F34"/>
    <mergeCell ref="E33:F33"/>
    <mergeCell ref="E32:F32"/>
    <mergeCell ref="E31:F31"/>
    <mergeCell ref="E15:F15"/>
    <mergeCell ref="E14:F14"/>
    <mergeCell ref="E12:F12"/>
    <mergeCell ref="E11:F11"/>
    <mergeCell ref="E7:F7"/>
    <mergeCell ref="E29:F29"/>
    <mergeCell ref="E28:F28"/>
    <mergeCell ref="E27:F27"/>
    <mergeCell ref="E26:F26"/>
    <mergeCell ref="E30:F30"/>
    <mergeCell ref="E20:F20"/>
    <mergeCell ref="E19:F19"/>
    <mergeCell ref="E18:F18"/>
    <mergeCell ref="E17:F17"/>
    <mergeCell ref="E16:F16"/>
    <mergeCell ref="E1:F1"/>
    <mergeCell ref="E6:F6"/>
    <mergeCell ref="E5:F5"/>
    <mergeCell ref="E4:F4"/>
    <mergeCell ref="E3:F3"/>
    <mergeCell ref="E25:F25"/>
    <mergeCell ref="E24:F24"/>
    <mergeCell ref="E23:F23"/>
    <mergeCell ref="E22:F22"/>
    <mergeCell ref="E21:F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FB01-FB37-43F9-A06F-0E16B04D5B66}">
  <dimension ref="A1:S185"/>
  <sheetViews>
    <sheetView tabSelected="1" topLeftCell="A156" workbookViewId="0">
      <selection activeCell="P177" sqref="P177"/>
    </sheetView>
  </sheetViews>
  <sheetFormatPr baseColWidth="10" defaultRowHeight="14.4" x14ac:dyDescent="0.3"/>
  <cols>
    <col min="1" max="1" width="19.21875" bestFit="1" customWidth="1"/>
    <col min="2" max="2" width="14.44140625" customWidth="1"/>
    <col min="5" max="5" width="14" customWidth="1"/>
    <col min="6" max="6" width="15.21875" bestFit="1" customWidth="1"/>
    <col min="7" max="7" width="13.44140625" customWidth="1"/>
  </cols>
  <sheetData>
    <row r="1" spans="1:19" ht="18.600000000000001" thickBot="1" x14ac:dyDescent="0.35">
      <c r="A1" s="9" t="s">
        <v>60</v>
      </c>
    </row>
    <row r="2" spans="1:19" x14ac:dyDescent="0.3">
      <c r="A2" s="6" t="s">
        <v>54</v>
      </c>
      <c r="B2" s="6" t="s">
        <v>55</v>
      </c>
      <c r="C2" s="6" t="s">
        <v>56</v>
      </c>
      <c r="D2" s="6" t="s">
        <v>57</v>
      </c>
      <c r="F2" s="6" t="s">
        <v>58</v>
      </c>
    </row>
    <row r="3" spans="1:19" x14ac:dyDescent="0.3">
      <c r="A3" s="7">
        <v>439158</v>
      </c>
      <c r="B3" s="7">
        <v>405359</v>
      </c>
      <c r="C3" s="7">
        <v>600641</v>
      </c>
      <c r="D3" s="7">
        <v>241861</v>
      </c>
      <c r="F3" s="8">
        <v>-0.1</v>
      </c>
    </row>
    <row r="4" spans="1:19" x14ac:dyDescent="0.3">
      <c r="A4" s="6"/>
      <c r="B4" s="6"/>
      <c r="C4" s="6"/>
      <c r="D4" s="6"/>
    </row>
    <row r="5" spans="1:19" ht="15" thickBot="1" x14ac:dyDescent="0.35">
      <c r="A5" s="6"/>
      <c r="B5" s="6"/>
      <c r="C5" s="6"/>
      <c r="D5" s="6"/>
    </row>
    <row r="6" spans="1:19" ht="18.600000000000001" thickBot="1" x14ac:dyDescent="0.35">
      <c r="A6" s="9" t="s">
        <v>59</v>
      </c>
      <c r="B6" s="6"/>
      <c r="C6" s="6"/>
      <c r="D6" s="6"/>
    </row>
    <row r="7" spans="1:19" x14ac:dyDescent="0.3">
      <c r="A7" s="6" t="s">
        <v>54</v>
      </c>
      <c r="B7" s="6" t="s">
        <v>55</v>
      </c>
      <c r="C7" s="6" t="s">
        <v>56</v>
      </c>
      <c r="D7" s="6" t="s">
        <v>57</v>
      </c>
      <c r="F7" s="6" t="s">
        <v>58</v>
      </c>
    </row>
    <row r="8" spans="1:19" x14ac:dyDescent="0.3">
      <c r="A8" s="7">
        <v>2243</v>
      </c>
      <c r="B8" s="7">
        <v>3766</v>
      </c>
      <c r="C8" s="7">
        <v>13921</v>
      </c>
      <c r="D8" s="7">
        <v>22579</v>
      </c>
      <c r="F8" s="8">
        <v>5.29</v>
      </c>
    </row>
    <row r="9" spans="1:19" x14ac:dyDescent="0.3">
      <c r="A9" s="6"/>
      <c r="B9" s="6"/>
      <c r="C9" s="6"/>
      <c r="D9" s="6"/>
    </row>
    <row r="10" spans="1:19" ht="18" x14ac:dyDescent="0.3">
      <c r="A10" s="25" t="s">
        <v>62</v>
      </c>
      <c r="B10" s="26"/>
      <c r="C10" s="26"/>
      <c r="D10" s="6"/>
    </row>
    <row r="11" spans="1:19" x14ac:dyDescent="0.3">
      <c r="A11" s="10">
        <v>45658</v>
      </c>
      <c r="B11" s="11">
        <v>45689</v>
      </c>
      <c r="C11" s="11">
        <v>45717</v>
      </c>
      <c r="D11" s="11">
        <v>45748</v>
      </c>
      <c r="E11" s="11">
        <v>45778</v>
      </c>
      <c r="F11" s="11">
        <v>45809</v>
      </c>
      <c r="G11" s="11">
        <v>45839</v>
      </c>
      <c r="H11" s="11">
        <v>45870</v>
      </c>
      <c r="I11" s="11">
        <v>45901</v>
      </c>
      <c r="J11" s="11">
        <v>45931</v>
      </c>
      <c r="K11" s="11">
        <v>45962</v>
      </c>
      <c r="L11" s="12">
        <v>45992</v>
      </c>
      <c r="M11" s="13" t="s">
        <v>61</v>
      </c>
      <c r="N11" s="14">
        <v>46023</v>
      </c>
      <c r="O11" s="15">
        <v>46054</v>
      </c>
      <c r="P11" s="16">
        <v>46082</v>
      </c>
      <c r="Q11" s="16">
        <v>46113</v>
      </c>
      <c r="R11" s="17">
        <v>46143</v>
      </c>
      <c r="S11" s="17" t="s">
        <v>57</v>
      </c>
    </row>
    <row r="12" spans="1:19" x14ac:dyDescent="0.3">
      <c r="A12" s="20">
        <v>1.0275020768659E-2</v>
      </c>
      <c r="B12" s="20">
        <v>1.1928520634046751E-2</v>
      </c>
      <c r="C12" s="20">
        <v>1.3113580870590216E-2</v>
      </c>
      <c r="D12" s="20">
        <v>1.7188686584304211E-2</v>
      </c>
      <c r="E12" s="20">
        <v>1.4734667246628969E-2</v>
      </c>
      <c r="F12" s="20">
        <v>1.4897147929450813E-2</v>
      </c>
      <c r="G12" s="20">
        <v>1.7849622598723639E-2</v>
      </c>
      <c r="H12" s="20">
        <v>2.4083847468966031E-2</v>
      </c>
      <c r="I12" s="20">
        <v>2.7173518961641649E-2</v>
      </c>
      <c r="J12" s="20">
        <v>4.4394119828983072E-2</v>
      </c>
      <c r="K12" s="20">
        <v>5.610284558717319E-2</v>
      </c>
      <c r="L12" s="20">
        <v>6.1869334701556353E-2</v>
      </c>
      <c r="M12" s="20">
        <v>2.3176906005417545E-2</v>
      </c>
      <c r="N12" s="18">
        <v>6.9827151437348134E-2</v>
      </c>
      <c r="O12" s="18">
        <v>8.179406682728578E-2</v>
      </c>
      <c r="P12" s="18">
        <v>9.7146440890561306E-2</v>
      </c>
      <c r="Q12" s="18">
        <v>0.11341557771664375</v>
      </c>
      <c r="R12" s="18">
        <v>0.11531703031190511</v>
      </c>
      <c r="S12" s="18">
        <v>9.3355274310451042E-2</v>
      </c>
    </row>
    <row r="14" spans="1:19" ht="15" thickBot="1" x14ac:dyDescent="0.35"/>
    <row r="15" spans="1:19" ht="18.600000000000001" thickBot="1" x14ac:dyDescent="0.35">
      <c r="A15" s="9" t="s">
        <v>63</v>
      </c>
    </row>
    <row r="16" spans="1:19" x14ac:dyDescent="0.3">
      <c r="B16" s="6" t="s">
        <v>54</v>
      </c>
      <c r="C16" s="6" t="s">
        <v>55</v>
      </c>
      <c r="D16" s="6" t="s">
        <v>56</v>
      </c>
      <c r="E16" s="6" t="s">
        <v>57</v>
      </c>
      <c r="G16" s="6" t="s">
        <v>58</v>
      </c>
    </row>
    <row r="17" spans="1:7" x14ac:dyDescent="0.3">
      <c r="A17" s="21" t="s">
        <v>64</v>
      </c>
      <c r="B17" s="4">
        <v>81637</v>
      </c>
      <c r="C17" s="4">
        <v>114759</v>
      </c>
      <c r="D17" s="4">
        <v>214592</v>
      </c>
      <c r="E17" s="4">
        <v>102148</v>
      </c>
      <c r="G17" s="19">
        <v>9.0637311950800242E-2</v>
      </c>
    </row>
    <row r="18" spans="1:7" x14ac:dyDescent="0.3">
      <c r="A18" s="21" t="s">
        <v>67</v>
      </c>
      <c r="B18" s="4">
        <v>150179</v>
      </c>
      <c r="C18" s="4">
        <v>129418</v>
      </c>
      <c r="D18" s="4">
        <v>169288</v>
      </c>
      <c r="E18" s="4">
        <v>66157</v>
      </c>
      <c r="G18" s="19">
        <v>-0.13797461756964532</v>
      </c>
    </row>
    <row r="19" spans="1:7" x14ac:dyDescent="0.3">
      <c r="A19" s="21" t="s">
        <v>68</v>
      </c>
      <c r="B19" s="4">
        <v>164931</v>
      </c>
      <c r="C19" s="4">
        <v>124932</v>
      </c>
      <c r="D19" s="4">
        <v>175084</v>
      </c>
      <c r="E19" s="4">
        <v>57395</v>
      </c>
      <c r="G19" s="19">
        <v>-0.27803215175224533</v>
      </c>
    </row>
    <row r="20" spans="1:7" x14ac:dyDescent="0.3">
      <c r="A20" s="21" t="s">
        <v>69</v>
      </c>
      <c r="B20" s="4">
        <v>11877</v>
      </c>
      <c r="C20" s="4">
        <v>12660</v>
      </c>
      <c r="D20" s="4">
        <v>17993</v>
      </c>
      <c r="E20" s="4">
        <v>7342</v>
      </c>
      <c r="G20" s="19">
        <v>-0.1155282496084809</v>
      </c>
    </row>
    <row r="21" spans="1:7" x14ac:dyDescent="0.3">
      <c r="A21" s="21" t="s">
        <v>70</v>
      </c>
      <c r="B21" s="4">
        <v>26921</v>
      </c>
      <c r="C21" s="4">
        <v>20615</v>
      </c>
      <c r="D21" s="4">
        <v>16460</v>
      </c>
      <c r="E21" s="4">
        <v>5709</v>
      </c>
      <c r="G21" s="19">
        <v>-0.29063121272365805</v>
      </c>
    </row>
    <row r="22" spans="1:7" x14ac:dyDescent="0.3">
      <c r="A22" s="21" t="s">
        <v>65</v>
      </c>
      <c r="B22" s="4">
        <v>2285</v>
      </c>
      <c r="C22" s="4">
        <v>2032</v>
      </c>
      <c r="D22" s="4">
        <v>3019</v>
      </c>
      <c r="E22" s="4">
        <v>1718</v>
      </c>
      <c r="G22" s="19">
        <v>0.39448051948051949</v>
      </c>
    </row>
    <row r="23" spans="1:7" x14ac:dyDescent="0.3">
      <c r="A23" s="21" t="s">
        <v>71</v>
      </c>
      <c r="B23" s="4">
        <v>866</v>
      </c>
      <c r="C23" s="4">
        <v>545</v>
      </c>
      <c r="D23" s="4">
        <v>3231</v>
      </c>
      <c r="E23" s="4">
        <v>1046</v>
      </c>
      <c r="G23" s="19">
        <v>1.7509727626459144E-2</v>
      </c>
    </row>
    <row r="24" spans="1:7" x14ac:dyDescent="0.3">
      <c r="A24" s="21" t="s">
        <v>66</v>
      </c>
      <c r="B24" s="4">
        <v>408</v>
      </c>
      <c r="C24" s="4">
        <v>278</v>
      </c>
      <c r="D24" s="4">
        <v>735</v>
      </c>
      <c r="E24" s="4">
        <v>408</v>
      </c>
      <c r="G24" s="19">
        <v>0.87155963302752293</v>
      </c>
    </row>
    <row r="25" spans="1:7" x14ac:dyDescent="0.3">
      <c r="A25" s="21" t="s">
        <v>72</v>
      </c>
      <c r="B25" s="4">
        <v>5</v>
      </c>
      <c r="C25" s="4">
        <v>14</v>
      </c>
      <c r="D25" s="4">
        <v>56</v>
      </c>
      <c r="E25" s="4">
        <v>18</v>
      </c>
      <c r="G25" s="19">
        <v>-0.51351351351351349</v>
      </c>
    </row>
    <row r="26" spans="1:7" x14ac:dyDescent="0.3">
      <c r="A26" s="21" t="s">
        <v>73</v>
      </c>
      <c r="B26" s="4">
        <v>49</v>
      </c>
      <c r="C26" s="4">
        <v>106</v>
      </c>
      <c r="D26" s="4">
        <v>183</v>
      </c>
      <c r="E26" s="4">
        <v>12</v>
      </c>
      <c r="G26" s="19">
        <v>-0.8928571428571429</v>
      </c>
    </row>
    <row r="28" spans="1:7" ht="15" thickBot="1" x14ac:dyDescent="0.35"/>
    <row r="29" spans="1:7" ht="18.600000000000001" thickBot="1" x14ac:dyDescent="0.35">
      <c r="A29" s="9" t="s">
        <v>74</v>
      </c>
    </row>
    <row r="30" spans="1:7" x14ac:dyDescent="0.3">
      <c r="B30" s="6" t="s">
        <v>54</v>
      </c>
      <c r="C30" s="6" t="s">
        <v>55</v>
      </c>
      <c r="D30" s="6" t="s">
        <v>56</v>
      </c>
      <c r="E30" s="6" t="s">
        <v>57</v>
      </c>
      <c r="G30" s="6" t="s">
        <v>58</v>
      </c>
    </row>
    <row r="31" spans="1:7" x14ac:dyDescent="0.3">
      <c r="A31" s="22" t="s">
        <v>75</v>
      </c>
      <c r="B31" s="4">
        <v>287609</v>
      </c>
      <c r="C31" s="4">
        <v>271707</v>
      </c>
      <c r="D31" s="4">
        <v>423233</v>
      </c>
      <c r="E31" s="4">
        <v>146968</v>
      </c>
      <c r="G31" s="19">
        <v>-0.23558875082569189</v>
      </c>
    </row>
    <row r="32" spans="1:7" x14ac:dyDescent="0.3">
      <c r="A32" s="22" t="s">
        <v>76</v>
      </c>
      <c r="B32" s="4">
        <v>141866</v>
      </c>
      <c r="C32" s="4">
        <v>119307</v>
      </c>
      <c r="D32" s="4">
        <v>150536</v>
      </c>
      <c r="E32" s="4">
        <v>60154</v>
      </c>
      <c r="G32" s="19">
        <v>-0.12265912140481885</v>
      </c>
    </row>
    <row r="33" spans="1:7" x14ac:dyDescent="0.3">
      <c r="A33" s="22" t="s">
        <v>77</v>
      </c>
      <c r="B33" s="4">
        <v>9558</v>
      </c>
      <c r="C33" s="4">
        <v>14177</v>
      </c>
      <c r="D33" s="4">
        <v>26653</v>
      </c>
      <c r="E33" s="4">
        <v>34603</v>
      </c>
      <c r="G33" s="19">
        <v>3.3373025821007771</v>
      </c>
    </row>
    <row r="34" spans="1:7" x14ac:dyDescent="0.3">
      <c r="B34" s="4"/>
      <c r="C34" s="4"/>
      <c r="D34" s="4"/>
      <c r="E34" s="4"/>
    </row>
    <row r="61" spans="1:5" ht="15" thickBot="1" x14ac:dyDescent="0.35"/>
    <row r="62" spans="1:5" ht="18.600000000000001" thickBot="1" x14ac:dyDescent="0.35">
      <c r="A62" s="9" t="s">
        <v>78</v>
      </c>
    </row>
    <row r="63" spans="1:5" x14ac:dyDescent="0.3">
      <c r="B63" s="6" t="s">
        <v>56</v>
      </c>
      <c r="C63" s="6" t="s">
        <v>57</v>
      </c>
      <c r="E63" s="6" t="s">
        <v>58</v>
      </c>
    </row>
    <row r="64" spans="1:5" x14ac:dyDescent="0.3">
      <c r="A64" s="23" t="s">
        <v>79</v>
      </c>
      <c r="B64" s="4">
        <v>294196</v>
      </c>
      <c r="C64" s="4">
        <v>106138</v>
      </c>
      <c r="E64" s="24">
        <v>-0.17077744009625226</v>
      </c>
    </row>
    <row r="65" spans="1:5" x14ac:dyDescent="0.3">
      <c r="A65" s="23" t="s">
        <v>80</v>
      </c>
      <c r="B65" s="4">
        <v>234423</v>
      </c>
      <c r="C65" s="4">
        <v>76711</v>
      </c>
      <c r="E65" s="24">
        <v>-0.33357368731973452</v>
      </c>
    </row>
    <row r="66" spans="1:5" x14ac:dyDescent="0.3">
      <c r="A66" s="23" t="s">
        <v>81</v>
      </c>
      <c r="B66" s="4">
        <v>25408</v>
      </c>
      <c r="C66" s="4">
        <v>30576</v>
      </c>
      <c r="E66" s="24">
        <v>2.4643099932019035</v>
      </c>
    </row>
    <row r="67" spans="1:5" x14ac:dyDescent="0.3">
      <c r="A67" s="23" t="s">
        <v>82</v>
      </c>
      <c r="B67" s="4">
        <v>46608</v>
      </c>
      <c r="C67" s="4">
        <v>28433</v>
      </c>
      <c r="E67" s="24">
        <v>0.67776007552959228</v>
      </c>
    </row>
    <row r="70" spans="1:5" ht="15" thickBot="1" x14ac:dyDescent="0.35"/>
    <row r="71" spans="1:5" ht="18.600000000000001" thickBot="1" x14ac:dyDescent="0.35">
      <c r="A71" s="9" t="s">
        <v>83</v>
      </c>
    </row>
    <row r="72" spans="1:5" x14ac:dyDescent="0.3">
      <c r="A72" s="31">
        <v>2025</v>
      </c>
      <c r="B72" s="31" t="s">
        <v>57</v>
      </c>
    </row>
    <row r="73" spans="1:5" x14ac:dyDescent="0.3">
      <c r="A73" s="1" t="s">
        <v>85</v>
      </c>
      <c r="B73" s="1" t="s">
        <v>84</v>
      </c>
    </row>
    <row r="74" spans="1:5" x14ac:dyDescent="0.3">
      <c r="A74" s="1" t="s">
        <v>84</v>
      </c>
      <c r="B74" s="1" t="s">
        <v>85</v>
      </c>
    </row>
    <row r="75" spans="1:5" x14ac:dyDescent="0.3">
      <c r="A75" s="1" t="s">
        <v>86</v>
      </c>
      <c r="B75" s="1" t="s">
        <v>86</v>
      </c>
    </row>
    <row r="76" spans="1:5" x14ac:dyDescent="0.3">
      <c r="A76" s="1" t="s">
        <v>89</v>
      </c>
      <c r="B76" s="1" t="s">
        <v>87</v>
      </c>
    </row>
    <row r="77" spans="1:5" x14ac:dyDescent="0.3">
      <c r="A77" s="1" t="s">
        <v>90</v>
      </c>
      <c r="B77" s="1" t="s">
        <v>88</v>
      </c>
    </row>
    <row r="78" spans="1:5" x14ac:dyDescent="0.3">
      <c r="A78" s="1" t="s">
        <v>87</v>
      </c>
      <c r="B78" s="1" t="s">
        <v>89</v>
      </c>
    </row>
    <row r="79" spans="1:5" x14ac:dyDescent="0.3">
      <c r="A79" s="1" t="s">
        <v>88</v>
      </c>
      <c r="B79" s="1" t="s">
        <v>90</v>
      </c>
    </row>
    <row r="80" spans="1:5" x14ac:dyDescent="0.3">
      <c r="A80" s="1" t="s">
        <v>91</v>
      </c>
      <c r="B80" s="1" t="s">
        <v>91</v>
      </c>
    </row>
    <row r="81" spans="1:13" x14ac:dyDescent="0.3">
      <c r="A81" s="1" t="s">
        <v>94</v>
      </c>
      <c r="B81" s="1" t="s">
        <v>92</v>
      </c>
    </row>
    <row r="82" spans="1:13" x14ac:dyDescent="0.3">
      <c r="A82" s="1" t="s">
        <v>92</v>
      </c>
      <c r="B82" s="1" t="s">
        <v>93</v>
      </c>
    </row>
    <row r="87" spans="1:13" ht="15" thickBot="1" x14ac:dyDescent="0.35"/>
    <row r="88" spans="1:13" ht="18.600000000000001" thickBot="1" x14ac:dyDescent="0.35">
      <c r="A88" s="9" t="s">
        <v>166</v>
      </c>
      <c r="B88" s="9"/>
      <c r="C88" s="9"/>
      <c r="D88" s="9" t="s">
        <v>167</v>
      </c>
      <c r="E88" s="9"/>
      <c r="F88" s="9" t="s">
        <v>168</v>
      </c>
    </row>
    <row r="89" spans="1:13" ht="15" thickBot="1" x14ac:dyDescent="0.35">
      <c r="M89" t="s">
        <v>169</v>
      </c>
    </row>
    <row r="90" spans="1:13" ht="15" thickBot="1" x14ac:dyDescent="0.35">
      <c r="A90" s="32" t="s">
        <v>95</v>
      </c>
      <c r="B90" s="33" t="s">
        <v>96</v>
      </c>
      <c r="C90" s="33" t="s">
        <v>97</v>
      </c>
      <c r="D90" s="33" t="s">
        <v>98</v>
      </c>
      <c r="E90" s="34" t="s">
        <v>99</v>
      </c>
      <c r="F90" s="35" t="s">
        <v>100</v>
      </c>
      <c r="G90" s="35" t="s">
        <v>101</v>
      </c>
      <c r="H90" s="36" t="s">
        <v>102</v>
      </c>
      <c r="J90">
        <v>1415</v>
      </c>
    </row>
    <row r="91" spans="1:13" x14ac:dyDescent="0.3">
      <c r="A91" s="37" t="s">
        <v>103</v>
      </c>
      <c r="B91" s="38">
        <f>+F91/$J$90</f>
        <v>25975.441696113074</v>
      </c>
      <c r="C91" s="38">
        <f>+G91/$J$90</f>
        <v>33037.279151943461</v>
      </c>
      <c r="D91" s="39">
        <f t="shared" ref="D91:D103" si="0">C91-B91</f>
        <v>7061.8374558303876</v>
      </c>
      <c r="E91" s="40" t="s">
        <v>104</v>
      </c>
      <c r="F91" s="41">
        <v>36755250</v>
      </c>
      <c r="G91" s="41">
        <v>46747750</v>
      </c>
      <c r="H91" s="42">
        <v>7065</v>
      </c>
    </row>
    <row r="92" spans="1:13" x14ac:dyDescent="0.3">
      <c r="A92" s="43" t="s">
        <v>105</v>
      </c>
      <c r="B92" s="44">
        <f t="shared" ref="B92:B103" si="1">+F92/$J$90</f>
        <v>27674.840989399294</v>
      </c>
      <c r="C92" s="44">
        <f t="shared" ref="C92:C103" si="2">+G92/$J$90</f>
        <v>34670.600706713783</v>
      </c>
      <c r="D92" s="44">
        <f t="shared" si="0"/>
        <v>6995.7597173144895</v>
      </c>
      <c r="E92" s="45" t="s">
        <v>106</v>
      </c>
      <c r="F92" s="46">
        <v>39159900</v>
      </c>
      <c r="G92" s="46">
        <v>49058900</v>
      </c>
      <c r="H92" s="47">
        <v>6451</v>
      </c>
    </row>
    <row r="93" spans="1:13" x14ac:dyDescent="0.3">
      <c r="A93" s="43" t="s">
        <v>107</v>
      </c>
      <c r="B93" s="44">
        <f t="shared" si="1"/>
        <v>32098.939929328622</v>
      </c>
      <c r="C93" s="44">
        <f t="shared" si="2"/>
        <v>37823.321554770315</v>
      </c>
      <c r="D93" s="44">
        <f t="shared" si="0"/>
        <v>5724.3816254416924</v>
      </c>
      <c r="E93" s="45" t="s">
        <v>108</v>
      </c>
      <c r="F93" s="46">
        <v>45420000</v>
      </c>
      <c r="G93" s="46">
        <v>53520000</v>
      </c>
      <c r="H93" s="47">
        <v>5177</v>
      </c>
    </row>
    <row r="94" spans="1:13" x14ac:dyDescent="0.3">
      <c r="A94" s="43" t="s">
        <v>109</v>
      </c>
      <c r="B94" s="48">
        <f t="shared" si="1"/>
        <v>30780.636042402828</v>
      </c>
      <c r="C94" s="48">
        <f t="shared" si="2"/>
        <v>38183.10954063604</v>
      </c>
      <c r="D94" s="44">
        <f t="shared" si="0"/>
        <v>7402.473498233212</v>
      </c>
      <c r="E94" s="45" t="s">
        <v>110</v>
      </c>
      <c r="F94" s="46">
        <v>43554600</v>
      </c>
      <c r="G94" s="46">
        <v>54029100</v>
      </c>
      <c r="H94" s="47">
        <v>3174</v>
      </c>
    </row>
    <row r="95" spans="1:13" x14ac:dyDescent="0.3">
      <c r="A95" s="43" t="s">
        <v>111</v>
      </c>
      <c r="B95" s="48">
        <f t="shared" si="1"/>
        <v>26367.49116607774</v>
      </c>
      <c r="C95" s="48">
        <f t="shared" si="2"/>
        <v>33717.31448763251</v>
      </c>
      <c r="D95" s="44">
        <f t="shared" si="0"/>
        <v>7349.8233215547698</v>
      </c>
      <c r="E95" s="45" t="s">
        <v>112</v>
      </c>
      <c r="F95" s="46">
        <v>37310000</v>
      </c>
      <c r="G95" s="46">
        <v>47710000</v>
      </c>
      <c r="H95" s="47">
        <v>3551</v>
      </c>
    </row>
    <row r="96" spans="1:13" x14ac:dyDescent="0.3">
      <c r="A96" s="43" t="s">
        <v>113</v>
      </c>
      <c r="B96" s="48">
        <f t="shared" si="1"/>
        <v>35877.420494699647</v>
      </c>
      <c r="C96" s="48">
        <f t="shared" si="2"/>
        <v>46169.858657243814</v>
      </c>
      <c r="D96" s="44">
        <f t="shared" si="0"/>
        <v>10292.438162544167</v>
      </c>
      <c r="E96" s="45" t="s">
        <v>114</v>
      </c>
      <c r="F96" s="46">
        <v>50766550</v>
      </c>
      <c r="G96" s="46">
        <v>65330350</v>
      </c>
      <c r="H96" s="47">
        <v>2888</v>
      </c>
    </row>
    <row r="97" spans="1:8" x14ac:dyDescent="0.3">
      <c r="A97" s="43" t="s">
        <v>115</v>
      </c>
      <c r="B97" s="48">
        <f t="shared" si="1"/>
        <v>25795.053003533569</v>
      </c>
      <c r="C97" s="48">
        <f t="shared" si="2"/>
        <v>32862.190812720852</v>
      </c>
      <c r="D97" s="44">
        <f t="shared" si="0"/>
        <v>7067.137809187283</v>
      </c>
      <c r="E97" s="45" t="s">
        <v>116</v>
      </c>
      <c r="F97" s="46">
        <v>36500000</v>
      </c>
      <c r="G97" s="46">
        <v>46500000</v>
      </c>
      <c r="H97" s="47">
        <v>2410</v>
      </c>
    </row>
    <row r="98" spans="1:8" x14ac:dyDescent="0.3">
      <c r="A98" s="43" t="s">
        <v>117</v>
      </c>
      <c r="B98" s="48">
        <f t="shared" si="1"/>
        <v>32749.116607773853</v>
      </c>
      <c r="C98" s="48">
        <f t="shared" si="2"/>
        <v>40530.035335689048</v>
      </c>
      <c r="D98" s="44">
        <f t="shared" si="0"/>
        <v>7780.9187279151956</v>
      </c>
      <c r="E98" s="45" t="s">
        <v>118</v>
      </c>
      <c r="F98" s="46">
        <v>46340000</v>
      </c>
      <c r="G98" s="46">
        <v>57350000</v>
      </c>
      <c r="H98" s="47">
        <v>2385</v>
      </c>
    </row>
    <row r="99" spans="1:8" x14ac:dyDescent="0.3">
      <c r="A99" s="43" t="s">
        <v>119</v>
      </c>
      <c r="B99" s="48">
        <f t="shared" si="1"/>
        <v>23031.802120141343</v>
      </c>
      <c r="C99" s="48">
        <f t="shared" si="2"/>
        <v>27540.636042402828</v>
      </c>
      <c r="D99" s="44">
        <f t="shared" si="0"/>
        <v>4508.833922261485</v>
      </c>
      <c r="E99" s="45" t="s">
        <v>120</v>
      </c>
      <c r="F99" s="46">
        <v>32590000</v>
      </c>
      <c r="G99" s="46">
        <v>38970000</v>
      </c>
      <c r="H99" s="47">
        <v>2382</v>
      </c>
    </row>
    <row r="100" spans="1:8" x14ac:dyDescent="0.3">
      <c r="A100" s="43" t="s">
        <v>121</v>
      </c>
      <c r="B100" s="48">
        <f t="shared" si="1"/>
        <v>26480.565371024735</v>
      </c>
      <c r="C100" s="48">
        <f t="shared" si="2"/>
        <v>30869.257950530035</v>
      </c>
      <c r="D100" s="44">
        <f t="shared" si="0"/>
        <v>4388.6925795052994</v>
      </c>
      <c r="E100" s="45" t="s">
        <v>122</v>
      </c>
      <c r="F100" s="46">
        <v>37470000</v>
      </c>
      <c r="G100" s="46">
        <v>43680000</v>
      </c>
      <c r="H100" s="47">
        <v>2048</v>
      </c>
    </row>
    <row r="101" spans="1:8" x14ac:dyDescent="0.3">
      <c r="A101" s="43" t="s">
        <v>123</v>
      </c>
      <c r="B101" s="48">
        <f t="shared" si="1"/>
        <v>26452.296819787985</v>
      </c>
      <c r="C101" s="48">
        <f t="shared" si="2"/>
        <v>31717.31448763251</v>
      </c>
      <c r="D101" s="44">
        <f t="shared" si="0"/>
        <v>5265.0176678445241</v>
      </c>
      <c r="E101" s="45" t="s">
        <v>124</v>
      </c>
      <c r="F101" s="46">
        <v>37430000</v>
      </c>
      <c r="G101" s="46">
        <v>44880000</v>
      </c>
      <c r="H101" s="47">
        <v>2040</v>
      </c>
    </row>
    <row r="102" spans="1:8" x14ac:dyDescent="0.3">
      <c r="A102" s="43" t="s">
        <v>125</v>
      </c>
      <c r="B102" s="48">
        <f t="shared" si="1"/>
        <v>29992.932862190813</v>
      </c>
      <c r="C102" s="48">
        <f t="shared" si="2"/>
        <v>34459.363957597176</v>
      </c>
      <c r="D102" s="44">
        <f t="shared" si="0"/>
        <v>4466.4310954063621</v>
      </c>
      <c r="E102" s="45" t="s">
        <v>126</v>
      </c>
      <c r="F102" s="46">
        <v>42440000</v>
      </c>
      <c r="G102" s="46">
        <v>48760000</v>
      </c>
      <c r="H102" s="47">
        <v>1210</v>
      </c>
    </row>
    <row r="103" spans="1:8" ht="15" thickBot="1" x14ac:dyDescent="0.35">
      <c r="A103" s="49" t="s">
        <v>127</v>
      </c>
      <c r="B103" s="50">
        <f t="shared" si="1"/>
        <v>32431.095406360426</v>
      </c>
      <c r="C103" s="50">
        <f t="shared" si="2"/>
        <v>36212.014134275618</v>
      </c>
      <c r="D103" s="51">
        <f t="shared" si="0"/>
        <v>3780.918727915192</v>
      </c>
      <c r="E103" s="52" t="s">
        <v>128</v>
      </c>
      <c r="F103" s="53">
        <v>45890000</v>
      </c>
      <c r="G103" s="53">
        <v>51240000</v>
      </c>
      <c r="H103" s="54">
        <v>1322</v>
      </c>
    </row>
    <row r="104" spans="1:8" ht="15" thickBot="1" x14ac:dyDescent="0.35">
      <c r="A104" s="55"/>
      <c r="B104" s="56"/>
      <c r="C104" s="56"/>
      <c r="D104" s="56"/>
      <c r="E104" s="57" t="s">
        <v>129</v>
      </c>
      <c r="F104" s="58"/>
      <c r="G104" s="58"/>
      <c r="H104" s="59">
        <f>SUM(H91:H103)</f>
        <v>42103</v>
      </c>
    </row>
    <row r="105" spans="1:8" x14ac:dyDescent="0.3">
      <c r="B105" s="60"/>
      <c r="C105" s="60"/>
      <c r="D105" s="61"/>
      <c r="E105" s="7"/>
      <c r="F105" s="62"/>
      <c r="G105" s="62"/>
      <c r="H105" s="7"/>
    </row>
    <row r="106" spans="1:8" ht="15" thickBot="1" x14ac:dyDescent="0.35">
      <c r="B106" s="60"/>
      <c r="C106" s="60"/>
      <c r="D106" s="61"/>
      <c r="E106" s="7"/>
      <c r="F106" s="63"/>
      <c r="G106" s="63"/>
      <c r="H106" s="7"/>
    </row>
    <row r="107" spans="1:8" ht="15" thickBot="1" x14ac:dyDescent="0.35">
      <c r="A107" s="32" t="s">
        <v>95</v>
      </c>
      <c r="B107" s="33" t="s">
        <v>96</v>
      </c>
      <c r="C107" s="33" t="s">
        <v>97</v>
      </c>
      <c r="D107" s="33" t="s">
        <v>98</v>
      </c>
      <c r="E107" s="34" t="s">
        <v>99</v>
      </c>
      <c r="F107" s="35" t="s">
        <v>100</v>
      </c>
      <c r="G107" s="35" t="s">
        <v>101</v>
      </c>
      <c r="H107" s="36" t="s">
        <v>102</v>
      </c>
    </row>
    <row r="108" spans="1:8" x14ac:dyDescent="0.3">
      <c r="A108" s="64" t="s">
        <v>130</v>
      </c>
      <c r="B108" s="65">
        <v>27500</v>
      </c>
      <c r="C108" s="65">
        <v>29900</v>
      </c>
      <c r="D108" s="66">
        <f>C108-B108</f>
        <v>2400</v>
      </c>
      <c r="E108" s="40" t="s">
        <v>131</v>
      </c>
      <c r="F108" s="67">
        <v>27500</v>
      </c>
      <c r="G108" s="67">
        <v>29900</v>
      </c>
      <c r="H108" s="42">
        <v>843</v>
      </c>
    </row>
    <row r="109" spans="1:8" x14ac:dyDescent="0.3">
      <c r="A109" s="68" t="s">
        <v>132</v>
      </c>
      <c r="B109" s="69">
        <v>28200</v>
      </c>
      <c r="C109" s="69">
        <v>28200</v>
      </c>
      <c r="D109" s="70">
        <v>10</v>
      </c>
      <c r="E109" s="45" t="s">
        <v>133</v>
      </c>
      <c r="F109" s="71">
        <v>28200</v>
      </c>
      <c r="G109" s="71">
        <v>28200</v>
      </c>
      <c r="H109" s="47">
        <v>153</v>
      </c>
    </row>
    <row r="110" spans="1:8" x14ac:dyDescent="0.3">
      <c r="A110" s="68" t="s">
        <v>134</v>
      </c>
      <c r="B110" s="69">
        <v>23000</v>
      </c>
      <c r="C110" s="69">
        <v>25500</v>
      </c>
      <c r="D110" s="70">
        <f>C110-B110</f>
        <v>2500</v>
      </c>
      <c r="E110" s="45" t="s">
        <v>135</v>
      </c>
      <c r="F110" s="71">
        <v>23000</v>
      </c>
      <c r="G110" s="71">
        <v>25500</v>
      </c>
      <c r="H110" s="47">
        <v>136</v>
      </c>
    </row>
    <row r="111" spans="1:8" ht="15" thickBot="1" x14ac:dyDescent="0.35">
      <c r="A111" s="72" t="s">
        <v>136</v>
      </c>
      <c r="B111" s="73">
        <v>20900</v>
      </c>
      <c r="C111" s="73">
        <v>22900</v>
      </c>
      <c r="D111" s="74">
        <f>C111-B111</f>
        <v>2000</v>
      </c>
      <c r="E111" s="52" t="s">
        <v>137</v>
      </c>
      <c r="F111" s="75">
        <v>20900</v>
      </c>
      <c r="G111" s="75">
        <v>22900</v>
      </c>
      <c r="H111" s="54">
        <v>75</v>
      </c>
    </row>
    <row r="112" spans="1:8" ht="15" thickBot="1" x14ac:dyDescent="0.35">
      <c r="B112" s="60"/>
      <c r="C112" s="60"/>
      <c r="D112" s="61"/>
      <c r="E112" s="57" t="s">
        <v>138</v>
      </c>
      <c r="F112" s="76"/>
      <c r="G112" s="76"/>
      <c r="H112" s="59">
        <f>SUM(H108:H111)</f>
        <v>1207</v>
      </c>
    </row>
    <row r="113" spans="1:8" ht="15" thickBot="1" x14ac:dyDescent="0.35">
      <c r="B113" s="60"/>
      <c r="C113" s="60"/>
      <c r="D113" s="61"/>
      <c r="E113" s="7"/>
      <c r="F113" s="62"/>
      <c r="G113" s="62"/>
      <c r="H113" s="7"/>
    </row>
    <row r="114" spans="1:8" ht="15" thickBot="1" x14ac:dyDescent="0.35">
      <c r="A114" s="32" t="s">
        <v>95</v>
      </c>
      <c r="B114" s="33" t="s">
        <v>96</v>
      </c>
      <c r="C114" s="33" t="s">
        <v>97</v>
      </c>
      <c r="D114" s="33" t="s">
        <v>98</v>
      </c>
      <c r="E114" s="34" t="s">
        <v>99</v>
      </c>
      <c r="F114" s="35" t="s">
        <v>100</v>
      </c>
      <c r="G114" s="35" t="s">
        <v>101</v>
      </c>
      <c r="H114" s="36" t="s">
        <v>102</v>
      </c>
    </row>
    <row r="115" spans="1:8" x14ac:dyDescent="0.3">
      <c r="A115" s="37" t="s">
        <v>139</v>
      </c>
      <c r="B115" s="39">
        <f t="shared" ref="B115:B122" si="3">+F115/$J$90</f>
        <v>22233.215547703181</v>
      </c>
      <c r="C115" s="39">
        <f t="shared" ref="C115:C122" si="4">+G115/$J$90</f>
        <v>30607.773851590107</v>
      </c>
      <c r="D115" s="39">
        <f t="shared" ref="D115:D127" si="5">C115-B115</f>
        <v>8374.5583038869263</v>
      </c>
      <c r="E115" s="40" t="s">
        <v>140</v>
      </c>
      <c r="F115" s="77">
        <v>31460000</v>
      </c>
      <c r="G115" s="77">
        <v>43310000</v>
      </c>
      <c r="H115" s="42">
        <v>10185</v>
      </c>
    </row>
    <row r="116" spans="1:8" x14ac:dyDescent="0.3">
      <c r="A116" s="43" t="s">
        <v>141</v>
      </c>
      <c r="B116" s="44">
        <f t="shared" si="3"/>
        <v>21992.932862190813</v>
      </c>
      <c r="C116" s="44">
        <f t="shared" si="4"/>
        <v>27413.427561837456</v>
      </c>
      <c r="D116" s="44">
        <f t="shared" si="5"/>
        <v>5420.4946996466424</v>
      </c>
      <c r="E116" s="45" t="s">
        <v>142</v>
      </c>
      <c r="F116" s="78">
        <v>31120000</v>
      </c>
      <c r="G116" s="78">
        <v>38790000</v>
      </c>
      <c r="H116" s="47">
        <v>10138</v>
      </c>
    </row>
    <row r="117" spans="1:8" x14ac:dyDescent="0.3">
      <c r="A117" s="43" t="s">
        <v>143</v>
      </c>
      <c r="B117" s="44">
        <f t="shared" si="3"/>
        <v>22265.653710247348</v>
      </c>
      <c r="C117" s="44">
        <f t="shared" si="4"/>
        <v>26874.134275618373</v>
      </c>
      <c r="D117" s="44">
        <f t="shared" si="5"/>
        <v>4608.4805653710246</v>
      </c>
      <c r="E117" s="45" t="s">
        <v>144</v>
      </c>
      <c r="F117" s="78">
        <v>31505900</v>
      </c>
      <c r="G117" s="78">
        <v>38026900</v>
      </c>
      <c r="H117" s="47">
        <v>6108</v>
      </c>
    </row>
    <row r="118" spans="1:8" x14ac:dyDescent="0.3">
      <c r="A118" s="43" t="s">
        <v>145</v>
      </c>
      <c r="B118" s="44">
        <f t="shared" si="3"/>
        <v>26549.469964664309</v>
      </c>
      <c r="C118" s="44">
        <f t="shared" si="4"/>
        <v>33456.996466431097</v>
      </c>
      <c r="D118" s="44">
        <f t="shared" si="5"/>
        <v>6907.526501766788</v>
      </c>
      <c r="E118" s="45" t="s">
        <v>146</v>
      </c>
      <c r="F118" s="78">
        <v>37567500</v>
      </c>
      <c r="G118" s="78">
        <v>47341650</v>
      </c>
      <c r="H118" s="47">
        <v>4774</v>
      </c>
    </row>
    <row r="119" spans="1:8" x14ac:dyDescent="0.3">
      <c r="A119" s="43" t="s">
        <v>147</v>
      </c>
      <c r="B119" s="48">
        <f t="shared" si="3"/>
        <v>24228.975265017667</v>
      </c>
      <c r="C119" s="48">
        <f t="shared" si="4"/>
        <v>28944.169611307421</v>
      </c>
      <c r="D119" s="44">
        <f t="shared" si="5"/>
        <v>4715.1943462897543</v>
      </c>
      <c r="E119" s="45" t="s">
        <v>148</v>
      </c>
      <c r="F119" s="78">
        <v>34284000</v>
      </c>
      <c r="G119" s="78">
        <v>40956000</v>
      </c>
      <c r="H119" s="47">
        <v>5042</v>
      </c>
    </row>
    <row r="120" spans="1:8" x14ac:dyDescent="0.3">
      <c r="A120" s="43" t="s">
        <v>149</v>
      </c>
      <c r="B120" s="44">
        <f t="shared" si="3"/>
        <v>22388.692579505299</v>
      </c>
      <c r="C120" s="44">
        <f t="shared" si="4"/>
        <v>24049.469964664309</v>
      </c>
      <c r="D120" s="44">
        <f t="shared" si="5"/>
        <v>1660.77738515901</v>
      </c>
      <c r="E120" s="45" t="s">
        <v>150</v>
      </c>
      <c r="F120" s="78">
        <v>31680000</v>
      </c>
      <c r="G120" s="78">
        <v>34030000</v>
      </c>
      <c r="H120" s="47">
        <v>2554</v>
      </c>
    </row>
    <row r="121" spans="1:8" x14ac:dyDescent="0.3">
      <c r="A121" s="43" t="s">
        <v>151</v>
      </c>
      <c r="B121" s="44">
        <f t="shared" si="3"/>
        <v>21363.957597173146</v>
      </c>
      <c r="C121" s="44">
        <f t="shared" si="4"/>
        <v>23074.204946996466</v>
      </c>
      <c r="D121" s="44">
        <f t="shared" si="5"/>
        <v>1710.2473498233194</v>
      </c>
      <c r="E121" s="45" t="s">
        <v>152</v>
      </c>
      <c r="F121" s="78">
        <v>30230000</v>
      </c>
      <c r="G121" s="78">
        <v>32650000</v>
      </c>
      <c r="H121" s="47">
        <v>2611</v>
      </c>
    </row>
    <row r="122" spans="1:8" x14ac:dyDescent="0.3">
      <c r="A122" s="43" t="s">
        <v>153</v>
      </c>
      <c r="B122" s="44">
        <f t="shared" si="3"/>
        <v>19505.300353356892</v>
      </c>
      <c r="C122" s="44">
        <f t="shared" si="4"/>
        <v>24734.982332155476</v>
      </c>
      <c r="D122" s="44">
        <f t="shared" si="5"/>
        <v>5229.6819787985842</v>
      </c>
      <c r="E122" s="45" t="s">
        <v>154</v>
      </c>
      <c r="F122" s="78">
        <v>27600000</v>
      </c>
      <c r="G122" s="78">
        <v>35000000</v>
      </c>
      <c r="H122" s="47">
        <v>2042</v>
      </c>
    </row>
    <row r="123" spans="1:8" x14ac:dyDescent="0.3">
      <c r="A123" s="43" t="s">
        <v>155</v>
      </c>
      <c r="B123" s="44">
        <v>25000</v>
      </c>
      <c r="C123" s="44">
        <v>28500</v>
      </c>
      <c r="D123" s="44">
        <f t="shared" si="5"/>
        <v>3500</v>
      </c>
      <c r="E123" s="45" t="s">
        <v>156</v>
      </c>
      <c r="F123" s="78">
        <v>25000</v>
      </c>
      <c r="G123" s="78">
        <v>28500</v>
      </c>
      <c r="H123" s="47">
        <v>1508</v>
      </c>
    </row>
    <row r="124" spans="1:8" x14ac:dyDescent="0.3">
      <c r="A124" s="43" t="s">
        <v>157</v>
      </c>
      <c r="B124" s="44">
        <f>+F124/$J$90</f>
        <v>30028.26855123675</v>
      </c>
      <c r="C124" s="44">
        <f>B124</f>
        <v>30028.26855123675</v>
      </c>
      <c r="D124" s="44">
        <f t="shared" si="5"/>
        <v>0</v>
      </c>
      <c r="E124" s="45" t="s">
        <v>158</v>
      </c>
      <c r="F124" s="78">
        <v>42490000</v>
      </c>
      <c r="G124" s="78">
        <v>42490000</v>
      </c>
      <c r="H124" s="47">
        <v>949</v>
      </c>
    </row>
    <row r="125" spans="1:8" x14ac:dyDescent="0.3">
      <c r="A125" s="43" t="s">
        <v>159</v>
      </c>
      <c r="B125" s="44">
        <v>23500</v>
      </c>
      <c r="C125" s="44">
        <v>25900</v>
      </c>
      <c r="D125" s="44">
        <f t="shared" si="5"/>
        <v>2400</v>
      </c>
      <c r="E125" s="45" t="s">
        <v>160</v>
      </c>
      <c r="F125" s="78">
        <v>23500</v>
      </c>
      <c r="G125" s="78">
        <v>25900</v>
      </c>
      <c r="H125" s="47">
        <v>710</v>
      </c>
    </row>
    <row r="126" spans="1:8" x14ac:dyDescent="0.3">
      <c r="A126" s="43" t="s">
        <v>161</v>
      </c>
      <c r="B126" s="44">
        <f t="shared" ref="B126:B127" si="6">+F126/$J$90</f>
        <v>25257.950530035334</v>
      </c>
      <c r="C126" s="44">
        <f t="shared" ref="C126:C127" si="7">+G126/$J$90</f>
        <v>26077.738515901059</v>
      </c>
      <c r="D126" s="44">
        <f t="shared" si="5"/>
        <v>819.7879858657252</v>
      </c>
      <c r="E126" s="45" t="s">
        <v>162</v>
      </c>
      <c r="F126" s="78">
        <v>35740000</v>
      </c>
      <c r="G126" s="78">
        <v>36900000</v>
      </c>
      <c r="H126" s="47">
        <v>187</v>
      </c>
    </row>
    <row r="127" spans="1:8" ht="15" thickBot="1" x14ac:dyDescent="0.35">
      <c r="A127" s="49" t="s">
        <v>163</v>
      </c>
      <c r="B127" s="51">
        <f t="shared" si="6"/>
        <v>26840.989399293285</v>
      </c>
      <c r="C127" s="51">
        <f t="shared" si="7"/>
        <v>27575.971731448764</v>
      </c>
      <c r="D127" s="51">
        <f t="shared" si="5"/>
        <v>734.98233215547953</v>
      </c>
      <c r="E127" s="52" t="s">
        <v>164</v>
      </c>
      <c r="F127" s="79">
        <v>37980000</v>
      </c>
      <c r="G127" s="79">
        <v>39020000</v>
      </c>
      <c r="H127" s="54">
        <v>150</v>
      </c>
    </row>
    <row r="128" spans="1:8" ht="15" thickBot="1" x14ac:dyDescent="0.35">
      <c r="B128" s="56"/>
      <c r="C128" s="56"/>
      <c r="D128" s="56"/>
      <c r="E128" s="57" t="s">
        <v>165</v>
      </c>
      <c r="F128" s="80"/>
      <c r="G128" s="80"/>
      <c r="H128" s="59">
        <f>SUM(H115:H127)</f>
        <v>46958</v>
      </c>
    </row>
    <row r="133" spans="1:10" ht="18" x14ac:dyDescent="0.3">
      <c r="A133" s="25" t="s">
        <v>212</v>
      </c>
      <c r="B133" s="95"/>
      <c r="D133" t="s">
        <v>213</v>
      </c>
      <c r="G133" t="s">
        <v>214</v>
      </c>
    </row>
    <row r="134" spans="1:10" ht="15" thickBot="1" x14ac:dyDescent="0.35"/>
    <row r="135" spans="1:10" ht="15" thickBot="1" x14ac:dyDescent="0.35">
      <c r="A135" s="32" t="s">
        <v>95</v>
      </c>
      <c r="B135" s="81" t="s">
        <v>96</v>
      </c>
      <c r="C135" s="81" t="s">
        <v>97</v>
      </c>
      <c r="D135" s="33" t="s">
        <v>98</v>
      </c>
      <c r="E135" s="34" t="s">
        <v>99</v>
      </c>
      <c r="F135" s="35" t="s">
        <v>100</v>
      </c>
      <c r="G135" s="35" t="s">
        <v>101</v>
      </c>
      <c r="H135" s="36" t="s">
        <v>170</v>
      </c>
      <c r="J135">
        <v>1415</v>
      </c>
    </row>
    <row r="136" spans="1:10" x14ac:dyDescent="0.3">
      <c r="A136" s="64" t="s">
        <v>171</v>
      </c>
      <c r="B136" s="82">
        <f>+F136/$J$135</f>
        <v>34000.148409893991</v>
      </c>
      <c r="C136" s="82">
        <f>G136/$J$135</f>
        <v>39598.946996466431</v>
      </c>
      <c r="D136" s="82">
        <f t="shared" ref="D136:D142" si="8">+C136-B136</f>
        <v>5598.7985865724404</v>
      </c>
      <c r="E136" s="83" t="s">
        <v>172</v>
      </c>
      <c r="F136" s="84">
        <v>48110210</v>
      </c>
      <c r="G136" s="84">
        <v>56032510</v>
      </c>
      <c r="H136" s="85">
        <v>8973</v>
      </c>
    </row>
    <row r="137" spans="1:10" x14ac:dyDescent="0.3">
      <c r="A137" s="68" t="s">
        <v>173</v>
      </c>
      <c r="B137" s="86">
        <f t="shared" ref="B137:B138" si="9">+F137/$J$135</f>
        <v>36691.166077738519</v>
      </c>
      <c r="C137" s="86">
        <f t="shared" ref="C137:C138" si="10">G137/$J$135</f>
        <v>45288.339222614843</v>
      </c>
      <c r="D137" s="86">
        <f t="shared" si="8"/>
        <v>8597.1731448763239</v>
      </c>
      <c r="E137" s="87" t="s">
        <v>174</v>
      </c>
      <c r="F137" s="88">
        <v>51918000</v>
      </c>
      <c r="G137" s="88">
        <v>64083000</v>
      </c>
      <c r="H137" s="89">
        <v>4815</v>
      </c>
    </row>
    <row r="138" spans="1:10" x14ac:dyDescent="0.3">
      <c r="A138" s="68" t="s">
        <v>175</v>
      </c>
      <c r="B138" s="86">
        <f t="shared" si="9"/>
        <v>40644.487632508833</v>
      </c>
      <c r="C138" s="86">
        <f t="shared" si="10"/>
        <v>46868.657243816255</v>
      </c>
      <c r="D138" s="86">
        <f t="shared" si="8"/>
        <v>6224.1696113074213</v>
      </c>
      <c r="E138" s="87" t="s">
        <v>176</v>
      </c>
      <c r="F138" s="88">
        <v>57511950</v>
      </c>
      <c r="G138" s="88">
        <v>66319150</v>
      </c>
      <c r="H138" s="89">
        <v>4906</v>
      </c>
    </row>
    <row r="139" spans="1:10" x14ac:dyDescent="0.3">
      <c r="A139" s="68" t="s">
        <v>177</v>
      </c>
      <c r="B139" s="86">
        <v>38800</v>
      </c>
      <c r="C139" s="86">
        <v>51000</v>
      </c>
      <c r="D139" s="86">
        <f t="shared" si="8"/>
        <v>12200</v>
      </c>
      <c r="E139" s="87" t="s">
        <v>178</v>
      </c>
      <c r="F139" s="90"/>
      <c r="G139" s="90"/>
      <c r="H139" s="89">
        <v>3308</v>
      </c>
    </row>
    <row r="140" spans="1:10" x14ac:dyDescent="0.3">
      <c r="A140" s="68" t="s">
        <v>179</v>
      </c>
      <c r="B140" s="86">
        <v>35800</v>
      </c>
      <c r="C140" s="86">
        <v>42500</v>
      </c>
      <c r="D140" s="86">
        <f t="shared" si="8"/>
        <v>6700</v>
      </c>
      <c r="E140" s="87" t="s">
        <v>180</v>
      </c>
      <c r="F140" s="90"/>
      <c r="G140" s="90"/>
      <c r="H140" s="89">
        <v>3306</v>
      </c>
    </row>
    <row r="141" spans="1:10" x14ac:dyDescent="0.3">
      <c r="A141" s="68" t="s">
        <v>181</v>
      </c>
      <c r="B141" s="86">
        <v>34990</v>
      </c>
      <c r="C141" s="86">
        <v>36990</v>
      </c>
      <c r="D141" s="86">
        <f t="shared" si="8"/>
        <v>2000</v>
      </c>
      <c r="E141" s="87" t="s">
        <v>182</v>
      </c>
      <c r="F141" s="90"/>
      <c r="G141" s="90"/>
      <c r="H141" s="89">
        <v>2019</v>
      </c>
    </row>
    <row r="142" spans="1:10" x14ac:dyDescent="0.3">
      <c r="A142" s="68" t="s">
        <v>183</v>
      </c>
      <c r="B142" s="86">
        <v>35500</v>
      </c>
      <c r="C142" s="86">
        <v>44400</v>
      </c>
      <c r="D142" s="86">
        <f t="shared" si="8"/>
        <v>8900</v>
      </c>
      <c r="E142" s="87" t="s">
        <v>184</v>
      </c>
      <c r="F142" s="90"/>
      <c r="G142" s="90"/>
      <c r="H142" s="89">
        <v>1244</v>
      </c>
    </row>
    <row r="143" spans="1:10" x14ac:dyDescent="0.3">
      <c r="A143" s="68" t="s">
        <v>185</v>
      </c>
      <c r="B143" s="86">
        <f>+F143/$J$135</f>
        <v>37272.720848056539</v>
      </c>
      <c r="C143" s="86">
        <f t="shared" ref="C143" si="11">G143/$J$135</f>
        <v>37272.720848056539</v>
      </c>
      <c r="D143" s="86">
        <v>500</v>
      </c>
      <c r="E143" s="87" t="s">
        <v>186</v>
      </c>
      <c r="F143" s="88">
        <v>52740900</v>
      </c>
      <c r="G143" s="88">
        <v>52740900</v>
      </c>
      <c r="H143" s="89">
        <v>1486</v>
      </c>
    </row>
    <row r="144" spans="1:10" x14ac:dyDescent="0.3">
      <c r="A144" s="68" t="s">
        <v>187</v>
      </c>
      <c r="B144" s="86">
        <v>36900</v>
      </c>
      <c r="C144" s="86">
        <v>42500</v>
      </c>
      <c r="D144" s="86">
        <f>+C144-B144</f>
        <v>5600</v>
      </c>
      <c r="E144" s="87" t="s">
        <v>188</v>
      </c>
      <c r="F144" s="90"/>
      <c r="G144" s="90"/>
      <c r="H144" s="89">
        <v>682</v>
      </c>
    </row>
    <row r="145" spans="1:16" x14ac:dyDescent="0.3">
      <c r="A145" s="68" t="s">
        <v>189</v>
      </c>
      <c r="B145" s="86">
        <v>32000</v>
      </c>
      <c r="C145" s="86">
        <v>32000</v>
      </c>
      <c r="D145" s="86">
        <v>500</v>
      </c>
      <c r="E145" s="87" t="s">
        <v>190</v>
      </c>
      <c r="F145" s="90"/>
      <c r="G145" s="90"/>
      <c r="H145" s="89">
        <v>817</v>
      </c>
    </row>
    <row r="146" spans="1:16" x14ac:dyDescent="0.3">
      <c r="A146" s="68" t="s">
        <v>191</v>
      </c>
      <c r="B146" s="86">
        <v>47900</v>
      </c>
      <c r="C146" s="86">
        <v>58700</v>
      </c>
      <c r="D146" s="86">
        <f>+C146-B146</f>
        <v>10800</v>
      </c>
      <c r="E146" s="87" t="s">
        <v>192</v>
      </c>
      <c r="F146" s="90"/>
      <c r="G146" s="90"/>
      <c r="H146" s="89">
        <v>458</v>
      </c>
    </row>
    <row r="147" spans="1:16" x14ac:dyDescent="0.3">
      <c r="A147" s="68" t="s">
        <v>193</v>
      </c>
      <c r="B147" s="86">
        <v>54500</v>
      </c>
      <c r="C147" s="86">
        <v>54500</v>
      </c>
      <c r="D147" s="86">
        <v>500</v>
      </c>
      <c r="E147" s="87" t="s">
        <v>194</v>
      </c>
      <c r="F147" s="90"/>
      <c r="G147" s="90"/>
      <c r="H147" s="89">
        <v>322</v>
      </c>
    </row>
    <row r="148" spans="1:16" x14ac:dyDescent="0.3">
      <c r="A148" s="68" t="s">
        <v>195</v>
      </c>
      <c r="B148" s="86">
        <v>38500</v>
      </c>
      <c r="C148" s="86">
        <v>38500</v>
      </c>
      <c r="D148" s="86">
        <v>500</v>
      </c>
      <c r="E148" s="87" t="s">
        <v>196</v>
      </c>
      <c r="F148" s="90"/>
      <c r="G148" s="90"/>
      <c r="H148" s="89">
        <v>182</v>
      </c>
    </row>
    <row r="149" spans="1:16" x14ac:dyDescent="0.3">
      <c r="A149" s="68" t="s">
        <v>197</v>
      </c>
      <c r="B149" s="86">
        <v>46600</v>
      </c>
      <c r="C149" s="86">
        <v>46600</v>
      </c>
      <c r="D149" s="86">
        <v>500</v>
      </c>
      <c r="E149" s="87" t="s">
        <v>198</v>
      </c>
      <c r="F149" s="90"/>
      <c r="G149" s="90"/>
      <c r="H149" s="89">
        <v>58</v>
      </c>
    </row>
    <row r="150" spans="1:16" x14ac:dyDescent="0.3">
      <c r="A150" s="68" t="s">
        <v>199</v>
      </c>
      <c r="B150" s="86">
        <v>48000</v>
      </c>
      <c r="C150" s="86">
        <v>66000</v>
      </c>
      <c r="D150" s="86">
        <f>+C150-B150</f>
        <v>18000</v>
      </c>
      <c r="E150" s="87" t="s">
        <v>200</v>
      </c>
      <c r="F150" s="90"/>
      <c r="G150" s="90"/>
      <c r="H150" s="89">
        <v>130</v>
      </c>
    </row>
    <row r="151" spans="1:16" x14ac:dyDescent="0.3">
      <c r="A151" s="68" t="s">
        <v>201</v>
      </c>
      <c r="B151" s="86">
        <v>33900</v>
      </c>
      <c r="C151" s="86">
        <v>33900</v>
      </c>
      <c r="D151" s="86">
        <v>500</v>
      </c>
      <c r="E151" s="87" t="s">
        <v>202</v>
      </c>
      <c r="F151" s="90"/>
      <c r="G151" s="90"/>
      <c r="H151" s="89">
        <v>139</v>
      </c>
    </row>
    <row r="152" spans="1:16" x14ac:dyDescent="0.3">
      <c r="A152" s="68" t="s">
        <v>203</v>
      </c>
      <c r="B152" s="86">
        <v>33800</v>
      </c>
      <c r="C152" s="86">
        <v>33800</v>
      </c>
      <c r="D152" s="86">
        <v>500</v>
      </c>
      <c r="E152" s="87" t="s">
        <v>204</v>
      </c>
      <c r="F152" s="90"/>
      <c r="G152" s="90"/>
      <c r="H152" s="89">
        <v>100</v>
      </c>
    </row>
    <row r="153" spans="1:16" x14ac:dyDescent="0.3">
      <c r="A153" s="68" t="s">
        <v>205</v>
      </c>
      <c r="B153" s="86">
        <v>34500</v>
      </c>
      <c r="C153" s="86">
        <v>34500</v>
      </c>
      <c r="D153" s="86">
        <v>500</v>
      </c>
      <c r="E153" s="87" t="s">
        <v>198</v>
      </c>
      <c r="F153" s="90"/>
      <c r="G153" s="90"/>
      <c r="H153" s="89">
        <v>41</v>
      </c>
    </row>
    <row r="154" spans="1:16" x14ac:dyDescent="0.3">
      <c r="A154" s="68" t="s">
        <v>206</v>
      </c>
      <c r="B154" s="86">
        <v>38900</v>
      </c>
      <c r="C154" s="86">
        <v>38900</v>
      </c>
      <c r="D154" s="86">
        <v>500</v>
      </c>
      <c r="E154" s="87" t="s">
        <v>207</v>
      </c>
      <c r="F154" s="90"/>
      <c r="G154" s="90"/>
      <c r="H154" s="89">
        <v>47</v>
      </c>
    </row>
    <row r="155" spans="1:16" x14ac:dyDescent="0.3">
      <c r="A155" s="68" t="s">
        <v>208</v>
      </c>
      <c r="B155" s="86">
        <v>40500</v>
      </c>
      <c r="C155" s="86">
        <v>40500</v>
      </c>
      <c r="D155" s="86">
        <v>500</v>
      </c>
      <c r="E155" s="87" t="s">
        <v>209</v>
      </c>
      <c r="F155" s="90"/>
      <c r="G155" s="90"/>
      <c r="H155" s="89">
        <v>71</v>
      </c>
    </row>
    <row r="156" spans="1:16" ht="15" thickBot="1" x14ac:dyDescent="0.35">
      <c r="A156" s="72" t="s">
        <v>210</v>
      </c>
      <c r="B156" s="91">
        <f>+F156/$J$135</f>
        <v>28183.745583038868</v>
      </c>
      <c r="C156" s="91">
        <f t="shared" ref="C156" si="12">G156/$J$135</f>
        <v>28183.745583038868</v>
      </c>
      <c r="D156" s="91">
        <v>500</v>
      </c>
      <c r="E156" s="92" t="s">
        <v>211</v>
      </c>
      <c r="F156" s="93">
        <v>39880000</v>
      </c>
      <c r="G156" s="93">
        <v>39880000</v>
      </c>
      <c r="H156" s="94">
        <v>33</v>
      </c>
    </row>
    <row r="160" spans="1:16" ht="18" x14ac:dyDescent="0.3">
      <c r="A160" s="25" t="s">
        <v>215</v>
      </c>
      <c r="B160" s="95"/>
      <c r="P160" s="98" t="s">
        <v>232</v>
      </c>
    </row>
    <row r="161" spans="1:16" x14ac:dyDescent="0.3">
      <c r="B161" s="1">
        <v>2025</v>
      </c>
      <c r="C161" s="1" t="s">
        <v>216</v>
      </c>
      <c r="D161" s="1" t="s">
        <v>217</v>
      </c>
      <c r="E161" s="1" t="s">
        <v>218</v>
      </c>
      <c r="F161" s="1" t="s">
        <v>219</v>
      </c>
      <c r="G161" s="1" t="s">
        <v>220</v>
      </c>
      <c r="H161" s="1" t="s">
        <v>221</v>
      </c>
      <c r="I161" s="1" t="s">
        <v>222</v>
      </c>
      <c r="J161" s="1" t="s">
        <v>223</v>
      </c>
      <c r="K161" s="1" t="s">
        <v>224</v>
      </c>
      <c r="L161" s="1" t="s">
        <v>225</v>
      </c>
      <c r="M161" s="1" t="s">
        <v>226</v>
      </c>
      <c r="N161" s="1" t="s">
        <v>227</v>
      </c>
      <c r="O161" s="31">
        <v>2026</v>
      </c>
      <c r="P161" s="99"/>
    </row>
    <row r="162" spans="1:16" x14ac:dyDescent="0.3">
      <c r="A162" t="s">
        <v>0</v>
      </c>
      <c r="B162" s="1">
        <v>45</v>
      </c>
      <c r="C162" s="1">
        <v>14</v>
      </c>
      <c r="D162" s="1">
        <v>0</v>
      </c>
      <c r="E162" s="1">
        <v>0</v>
      </c>
      <c r="F162" s="1">
        <v>19</v>
      </c>
      <c r="G162" s="1">
        <v>76</v>
      </c>
      <c r="H162" s="1">
        <v>0</v>
      </c>
      <c r="I162" s="1">
        <v>0</v>
      </c>
      <c r="J162" s="1">
        <v>25</v>
      </c>
      <c r="K162" s="1">
        <v>31</v>
      </c>
      <c r="L162" s="1">
        <v>35</v>
      </c>
      <c r="M162" s="1">
        <v>40</v>
      </c>
      <c r="N162" s="1">
        <v>40</v>
      </c>
      <c r="O162" s="31">
        <f>SUM(C162:N162)</f>
        <v>280</v>
      </c>
      <c r="P162" s="99">
        <v>280</v>
      </c>
    </row>
    <row r="163" spans="1:16" x14ac:dyDescent="0.3">
      <c r="A163" t="s">
        <v>1</v>
      </c>
      <c r="B163" s="1">
        <v>45</v>
      </c>
      <c r="C163" s="1">
        <v>13</v>
      </c>
      <c r="D163" s="1">
        <v>0</v>
      </c>
      <c r="E163" s="1">
        <v>0</v>
      </c>
      <c r="F163" s="1">
        <v>30</v>
      </c>
      <c r="G163" s="1">
        <v>38</v>
      </c>
      <c r="H163" s="1">
        <v>0</v>
      </c>
      <c r="I163" s="1">
        <v>0</v>
      </c>
      <c r="J163" s="1">
        <v>19</v>
      </c>
      <c r="K163" s="1">
        <v>20</v>
      </c>
      <c r="L163" s="1">
        <v>20</v>
      </c>
      <c r="M163" s="1">
        <v>20</v>
      </c>
      <c r="N163" s="1">
        <v>20</v>
      </c>
      <c r="O163" s="31">
        <f t="shared" ref="O163:O166" si="13">SUM(C163:N163)</f>
        <v>180</v>
      </c>
      <c r="P163" s="99">
        <v>195</v>
      </c>
    </row>
    <row r="164" spans="1:16" x14ac:dyDescent="0.3">
      <c r="A164" t="s">
        <v>2</v>
      </c>
      <c r="B164" s="1">
        <v>24</v>
      </c>
      <c r="C164" s="1">
        <v>3</v>
      </c>
      <c r="D164" s="1">
        <v>0</v>
      </c>
      <c r="E164" s="1">
        <v>0</v>
      </c>
      <c r="F164" s="1">
        <v>8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31">
        <f t="shared" si="13"/>
        <v>11</v>
      </c>
      <c r="P164" s="99">
        <v>80</v>
      </c>
    </row>
    <row r="165" spans="1:16" x14ac:dyDescent="0.3">
      <c r="A165" t="s">
        <v>3</v>
      </c>
      <c r="B165" s="1">
        <v>63</v>
      </c>
      <c r="C165" s="1">
        <v>51</v>
      </c>
      <c r="D165" s="1">
        <v>0</v>
      </c>
      <c r="E165" s="1">
        <v>0</v>
      </c>
      <c r="F165" s="1">
        <v>60</v>
      </c>
      <c r="G165" s="1">
        <v>225</v>
      </c>
      <c r="H165" s="1">
        <v>0</v>
      </c>
      <c r="I165" s="1">
        <v>0</v>
      </c>
      <c r="J165" s="1">
        <v>80</v>
      </c>
      <c r="K165" s="1">
        <v>69</v>
      </c>
      <c r="L165" s="1">
        <v>0</v>
      </c>
      <c r="M165" s="1">
        <v>0</v>
      </c>
      <c r="N165" s="1">
        <v>0</v>
      </c>
      <c r="O165" s="31">
        <f t="shared" si="13"/>
        <v>485</v>
      </c>
      <c r="P165" s="99">
        <v>360</v>
      </c>
    </row>
    <row r="166" spans="1:16" x14ac:dyDescent="0.3">
      <c r="A166" t="s">
        <v>228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10</v>
      </c>
      <c r="J166" s="1">
        <v>5</v>
      </c>
      <c r="K166" s="1">
        <v>5</v>
      </c>
      <c r="L166" s="1">
        <v>5</v>
      </c>
      <c r="M166" s="1">
        <v>5</v>
      </c>
      <c r="N166" s="1">
        <v>5</v>
      </c>
      <c r="O166" s="31">
        <f t="shared" si="13"/>
        <v>35</v>
      </c>
      <c r="P166" s="99">
        <v>0</v>
      </c>
    </row>
    <row r="167" spans="1:16" s="96" customFormat="1" x14ac:dyDescent="0.3">
      <c r="A167" s="96" t="s">
        <v>229</v>
      </c>
      <c r="B167" s="31">
        <f>SUM(B162:B166)</f>
        <v>177</v>
      </c>
      <c r="C167" s="31">
        <f t="shared" ref="C167:O167" si="14">SUM(C162:C166)</f>
        <v>81</v>
      </c>
      <c r="D167" s="31">
        <f t="shared" si="14"/>
        <v>0</v>
      </c>
      <c r="E167" s="31">
        <f t="shared" si="14"/>
        <v>0</v>
      </c>
      <c r="F167" s="31">
        <f t="shared" si="14"/>
        <v>117</v>
      </c>
      <c r="G167" s="31">
        <f t="shared" si="14"/>
        <v>339</v>
      </c>
      <c r="H167" s="31">
        <f t="shared" si="14"/>
        <v>0</v>
      </c>
      <c r="I167" s="31">
        <f t="shared" si="14"/>
        <v>10</v>
      </c>
      <c r="J167" s="31">
        <f t="shared" si="14"/>
        <v>129</v>
      </c>
      <c r="K167" s="31">
        <f t="shared" si="14"/>
        <v>125</v>
      </c>
      <c r="L167" s="31">
        <f t="shared" si="14"/>
        <v>60</v>
      </c>
      <c r="M167" s="31">
        <f t="shared" si="14"/>
        <v>65</v>
      </c>
      <c r="N167" s="31">
        <f t="shared" si="14"/>
        <v>65</v>
      </c>
      <c r="O167" s="31">
        <f t="shared" si="14"/>
        <v>991</v>
      </c>
      <c r="P167" s="100"/>
    </row>
    <row r="168" spans="1:16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8" x14ac:dyDescent="0.3">
      <c r="A169" s="25" t="s">
        <v>230</v>
      </c>
      <c r="B169" s="9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x14ac:dyDescent="0.3">
      <c r="B170" s="1">
        <v>2025</v>
      </c>
      <c r="C170" s="1" t="s">
        <v>216</v>
      </c>
      <c r="D170" s="1" t="s">
        <v>217</v>
      </c>
      <c r="E170" s="1" t="s">
        <v>218</v>
      </c>
      <c r="F170" s="1" t="s">
        <v>219</v>
      </c>
      <c r="G170" s="1" t="s">
        <v>220</v>
      </c>
      <c r="H170" s="1" t="s">
        <v>221</v>
      </c>
      <c r="I170" s="1" t="s">
        <v>222</v>
      </c>
      <c r="J170" s="1" t="s">
        <v>223</v>
      </c>
      <c r="K170" s="1" t="s">
        <v>224</v>
      </c>
      <c r="L170" s="1" t="s">
        <v>225</v>
      </c>
      <c r="M170" s="1" t="s">
        <v>226</v>
      </c>
      <c r="N170" s="1" t="s">
        <v>227</v>
      </c>
      <c r="O170" s="31">
        <v>2026</v>
      </c>
    </row>
    <row r="171" spans="1:16" x14ac:dyDescent="0.3">
      <c r="A171" t="s">
        <v>0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14</v>
      </c>
      <c r="H171" s="6">
        <v>11</v>
      </c>
      <c r="I171" s="6">
        <v>18</v>
      </c>
      <c r="J171" s="6">
        <v>18</v>
      </c>
      <c r="K171" s="6">
        <v>22</v>
      </c>
      <c r="L171" s="6">
        <v>28</v>
      </c>
      <c r="M171" s="6">
        <v>28</v>
      </c>
      <c r="N171" s="6">
        <v>25</v>
      </c>
      <c r="O171" s="97">
        <f>SUM(C171:N171)</f>
        <v>164</v>
      </c>
      <c r="P171">
        <f>(+O162+B162)-O171</f>
        <v>161</v>
      </c>
    </row>
    <row r="172" spans="1:16" x14ac:dyDescent="0.3">
      <c r="A172" t="s">
        <v>1</v>
      </c>
      <c r="B172" s="6">
        <v>0</v>
      </c>
      <c r="C172" s="6">
        <v>0</v>
      </c>
      <c r="D172" s="6">
        <v>0</v>
      </c>
      <c r="E172" s="6">
        <v>1</v>
      </c>
      <c r="F172" s="6">
        <v>1</v>
      </c>
      <c r="G172" s="6">
        <v>12</v>
      </c>
      <c r="H172" s="6">
        <v>13</v>
      </c>
      <c r="I172" s="6">
        <v>15</v>
      </c>
      <c r="J172" s="6">
        <v>15</v>
      </c>
      <c r="K172" s="6">
        <v>20</v>
      </c>
      <c r="L172" s="6">
        <v>20</v>
      </c>
      <c r="M172" s="6">
        <v>20</v>
      </c>
      <c r="N172" s="6">
        <v>20</v>
      </c>
      <c r="O172" s="97">
        <f t="shared" ref="O172:O175" si="15">SUM(C172:N172)</f>
        <v>137</v>
      </c>
      <c r="P172">
        <f t="shared" ref="P172:P176" si="16">(+O163+B163)-O172</f>
        <v>88</v>
      </c>
    </row>
    <row r="173" spans="1:16" x14ac:dyDescent="0.3">
      <c r="A173" t="s">
        <v>2</v>
      </c>
      <c r="B173" s="6">
        <v>0</v>
      </c>
      <c r="C173" s="6">
        <v>0</v>
      </c>
      <c r="D173" s="6">
        <v>0</v>
      </c>
      <c r="E173" s="6">
        <v>2</v>
      </c>
      <c r="F173" s="6">
        <v>0</v>
      </c>
      <c r="G173" s="6">
        <v>4</v>
      </c>
      <c r="H173" s="6">
        <v>7</v>
      </c>
      <c r="I173" s="6">
        <v>4</v>
      </c>
      <c r="J173" s="6">
        <v>4</v>
      </c>
      <c r="K173" s="6">
        <v>4</v>
      </c>
      <c r="L173" s="6">
        <v>4</v>
      </c>
      <c r="M173" s="6">
        <v>4</v>
      </c>
      <c r="N173" s="6">
        <v>2</v>
      </c>
      <c r="O173" s="97">
        <f t="shared" si="15"/>
        <v>35</v>
      </c>
      <c r="P173">
        <f t="shared" si="16"/>
        <v>0</v>
      </c>
    </row>
    <row r="174" spans="1:16" x14ac:dyDescent="0.3">
      <c r="A174" t="s">
        <v>3</v>
      </c>
      <c r="B174" s="6">
        <v>0</v>
      </c>
      <c r="C174" s="6">
        <v>0</v>
      </c>
      <c r="D174" s="6">
        <v>0</v>
      </c>
      <c r="E174" s="6">
        <v>0</v>
      </c>
      <c r="F174" s="6">
        <v>2</v>
      </c>
      <c r="G174" s="6">
        <v>27</v>
      </c>
      <c r="H174" s="6">
        <v>27</v>
      </c>
      <c r="I174" s="6">
        <v>7</v>
      </c>
      <c r="J174" s="6">
        <v>45</v>
      </c>
      <c r="K174" s="6">
        <v>58</v>
      </c>
      <c r="L174" s="6">
        <v>65</v>
      </c>
      <c r="M174" s="6">
        <v>75</v>
      </c>
      <c r="N174" s="6">
        <v>70</v>
      </c>
      <c r="O174" s="97">
        <f t="shared" si="15"/>
        <v>376</v>
      </c>
      <c r="P174">
        <f t="shared" si="16"/>
        <v>172</v>
      </c>
    </row>
    <row r="175" spans="1:16" x14ac:dyDescent="0.3">
      <c r="A175" t="s">
        <v>228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10</v>
      </c>
      <c r="M175" s="6">
        <v>5</v>
      </c>
      <c r="N175" s="6">
        <v>5</v>
      </c>
      <c r="O175" s="97">
        <f t="shared" si="15"/>
        <v>20</v>
      </c>
      <c r="P175">
        <f t="shared" si="16"/>
        <v>15</v>
      </c>
    </row>
    <row r="176" spans="1:16" s="96" customFormat="1" x14ac:dyDescent="0.3">
      <c r="A176" s="96" t="s">
        <v>229</v>
      </c>
      <c r="B176" s="97">
        <f>SUM(B171:B175)</f>
        <v>0</v>
      </c>
      <c r="C176" s="97">
        <f t="shared" ref="C176:O176" si="17">SUM(C171:C175)</f>
        <v>0</v>
      </c>
      <c r="D176" s="97">
        <f t="shared" si="17"/>
        <v>0</v>
      </c>
      <c r="E176" s="97">
        <f t="shared" si="17"/>
        <v>3</v>
      </c>
      <c r="F176" s="97">
        <f t="shared" si="17"/>
        <v>3</v>
      </c>
      <c r="G176" s="97">
        <f t="shared" si="17"/>
        <v>57</v>
      </c>
      <c r="H176" s="97">
        <f t="shared" si="17"/>
        <v>58</v>
      </c>
      <c r="I176" s="97">
        <f t="shared" si="17"/>
        <v>44</v>
      </c>
      <c r="J176" s="97">
        <f t="shared" si="17"/>
        <v>82</v>
      </c>
      <c r="K176" s="97">
        <f t="shared" si="17"/>
        <v>104</v>
      </c>
      <c r="L176" s="97">
        <f t="shared" si="17"/>
        <v>127</v>
      </c>
      <c r="M176" s="97">
        <f t="shared" si="17"/>
        <v>132</v>
      </c>
      <c r="N176" s="97">
        <f t="shared" si="17"/>
        <v>122</v>
      </c>
      <c r="O176" s="97">
        <f t="shared" si="17"/>
        <v>732</v>
      </c>
      <c r="P176">
        <f t="shared" si="16"/>
        <v>436</v>
      </c>
    </row>
    <row r="177" spans="1:16" x14ac:dyDescent="0.3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6" ht="18" x14ac:dyDescent="0.3">
      <c r="A178" s="25" t="s">
        <v>231</v>
      </c>
      <c r="B178" s="9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6" x14ac:dyDescent="0.3">
      <c r="B179" s="1">
        <v>2025</v>
      </c>
      <c r="C179" s="1" t="s">
        <v>216</v>
      </c>
      <c r="D179" s="1" t="s">
        <v>217</v>
      </c>
      <c r="E179" s="1" t="s">
        <v>218</v>
      </c>
      <c r="F179" s="1" t="s">
        <v>219</v>
      </c>
      <c r="G179" s="1" t="s">
        <v>220</v>
      </c>
      <c r="H179" s="1" t="s">
        <v>221</v>
      </c>
      <c r="I179" s="1" t="s">
        <v>222</v>
      </c>
      <c r="J179" s="1" t="s">
        <v>223</v>
      </c>
      <c r="K179" s="1" t="s">
        <v>224</v>
      </c>
      <c r="L179" s="1" t="s">
        <v>225</v>
      </c>
      <c r="M179" s="1" t="s">
        <v>226</v>
      </c>
      <c r="N179" s="1" t="s">
        <v>227</v>
      </c>
      <c r="O179" s="31">
        <v>2026</v>
      </c>
    </row>
    <row r="180" spans="1:16" x14ac:dyDescent="0.3">
      <c r="A180" t="s">
        <v>0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10</v>
      </c>
      <c r="I180" s="6">
        <v>15</v>
      </c>
      <c r="J180" s="6">
        <v>18</v>
      </c>
      <c r="K180" s="6">
        <v>20</v>
      </c>
      <c r="L180" s="6">
        <v>25</v>
      </c>
      <c r="M180" s="6">
        <v>25</v>
      </c>
      <c r="N180" s="6">
        <v>8</v>
      </c>
      <c r="O180" s="97">
        <f>SUM(C180:N180)</f>
        <v>121</v>
      </c>
      <c r="P180">
        <f>+O171-O180</f>
        <v>43</v>
      </c>
    </row>
    <row r="181" spans="1:16" x14ac:dyDescent="0.3">
      <c r="A181" t="s">
        <v>1</v>
      </c>
      <c r="B181" s="6">
        <v>0</v>
      </c>
      <c r="C181" s="6">
        <v>0</v>
      </c>
      <c r="D181" s="6">
        <v>0</v>
      </c>
      <c r="E181" s="6">
        <v>0</v>
      </c>
      <c r="F181" s="6">
        <v>1</v>
      </c>
      <c r="G181" s="6">
        <v>0</v>
      </c>
      <c r="H181" s="6">
        <v>10</v>
      </c>
      <c r="I181" s="6">
        <v>12</v>
      </c>
      <c r="J181" s="6">
        <v>15</v>
      </c>
      <c r="K181" s="6">
        <v>15</v>
      </c>
      <c r="L181" s="6">
        <v>18</v>
      </c>
      <c r="M181" s="6">
        <v>18</v>
      </c>
      <c r="N181" s="6">
        <v>8</v>
      </c>
      <c r="O181" s="97">
        <f t="shared" ref="O181:O184" si="18">SUM(C181:N181)</f>
        <v>97</v>
      </c>
      <c r="P181">
        <f t="shared" ref="P181:P185" si="19">+O172-O181</f>
        <v>40</v>
      </c>
    </row>
    <row r="182" spans="1:16" x14ac:dyDescent="0.3">
      <c r="A182" t="s">
        <v>2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4</v>
      </c>
      <c r="I182" s="6">
        <v>5</v>
      </c>
      <c r="J182" s="6">
        <v>5</v>
      </c>
      <c r="K182" s="6">
        <v>4</v>
      </c>
      <c r="L182" s="6">
        <v>6</v>
      </c>
      <c r="M182" s="6">
        <v>6</v>
      </c>
      <c r="N182" s="6">
        <v>5</v>
      </c>
      <c r="O182" s="97">
        <f t="shared" si="18"/>
        <v>35</v>
      </c>
      <c r="P182">
        <f t="shared" si="19"/>
        <v>0</v>
      </c>
    </row>
    <row r="183" spans="1:16" x14ac:dyDescent="0.3">
      <c r="A183" t="s">
        <v>3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20</v>
      </c>
      <c r="I183" s="6">
        <v>28</v>
      </c>
      <c r="J183" s="6">
        <v>38</v>
      </c>
      <c r="K183" s="6">
        <v>48</v>
      </c>
      <c r="L183" s="6">
        <v>58</v>
      </c>
      <c r="M183" s="6">
        <v>68</v>
      </c>
      <c r="N183" s="6">
        <v>20</v>
      </c>
      <c r="O183" s="97">
        <f t="shared" si="18"/>
        <v>280</v>
      </c>
      <c r="P183">
        <f t="shared" si="19"/>
        <v>96</v>
      </c>
    </row>
    <row r="184" spans="1:16" x14ac:dyDescent="0.3">
      <c r="A184" t="s">
        <v>228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4</v>
      </c>
      <c r="M184" s="6">
        <v>6</v>
      </c>
      <c r="N184" s="6">
        <v>4</v>
      </c>
      <c r="O184" s="97">
        <f t="shared" si="18"/>
        <v>14</v>
      </c>
      <c r="P184">
        <f t="shared" si="19"/>
        <v>6</v>
      </c>
    </row>
    <row r="185" spans="1:16" x14ac:dyDescent="0.3">
      <c r="A185" s="96" t="s">
        <v>229</v>
      </c>
      <c r="B185" s="97">
        <f>SUM(B180:B184)</f>
        <v>0</v>
      </c>
      <c r="C185" s="97">
        <f t="shared" ref="C185:O185" si="20">SUM(C180:C184)</f>
        <v>0</v>
      </c>
      <c r="D185" s="97">
        <f t="shared" si="20"/>
        <v>0</v>
      </c>
      <c r="E185" s="97">
        <f t="shared" si="20"/>
        <v>0</v>
      </c>
      <c r="F185" s="97">
        <f t="shared" si="20"/>
        <v>1</v>
      </c>
      <c r="G185" s="97">
        <f t="shared" si="20"/>
        <v>0</v>
      </c>
      <c r="H185" s="97">
        <f t="shared" si="20"/>
        <v>44</v>
      </c>
      <c r="I185" s="97">
        <f t="shared" si="20"/>
        <v>60</v>
      </c>
      <c r="J185" s="97">
        <f t="shared" si="20"/>
        <v>76</v>
      </c>
      <c r="K185" s="97">
        <f t="shared" si="20"/>
        <v>87</v>
      </c>
      <c r="L185" s="97">
        <f t="shared" si="20"/>
        <v>111</v>
      </c>
      <c r="M185" s="97">
        <f t="shared" si="20"/>
        <v>123</v>
      </c>
      <c r="N185" s="97">
        <f t="shared" si="20"/>
        <v>45</v>
      </c>
      <c r="O185" s="97">
        <f t="shared" si="20"/>
        <v>547</v>
      </c>
      <c r="P185">
        <f t="shared" si="19"/>
        <v>185</v>
      </c>
    </row>
  </sheetData>
  <mergeCells count="5">
    <mergeCell ref="A178:B178"/>
    <mergeCell ref="A10:C10"/>
    <mergeCell ref="A133:B133"/>
    <mergeCell ref="A160:B160"/>
    <mergeCell ref="A169:B169"/>
  </mergeCells>
  <phoneticPr fontId="8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Presentacion Emperador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Pietz</dc:creator>
  <cp:lastModifiedBy>Nicolas Pietz</cp:lastModifiedBy>
  <dcterms:created xsi:type="dcterms:W3CDTF">2026-06-02T12:05:33Z</dcterms:created>
  <dcterms:modified xsi:type="dcterms:W3CDTF">2026-06-02T23:43:04Z</dcterms:modified>
</cp:coreProperties>
</file>